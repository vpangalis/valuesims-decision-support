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omments1.xml" ContentType="application/vnd.openxmlformats-officedocument.spreadsheetml.comments+xml"/>
  <Override PartName="/xl/tables/table12.xml" ContentType="application/vnd.openxmlformats-officedocument.spreadsheetml.table+xml"/>
  <Override PartName="/xl/comments2.xml" ContentType="application/vnd.openxmlformats-officedocument.spreadsheetml.comments+xml"/>
  <Override PartName="/xl/tables/table1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valuesimulations-my.sharepoint.com/personal/vp_valuesims_com/Documents/BUSINESS/valuesims-decision-support/DEV/valuesims-decision-support/ARTIFACTS/"/>
    </mc:Choice>
  </mc:AlternateContent>
  <xr:revisionPtr revIDLastSave="208" documentId="8_{CFC3A4BA-AAEB-4669-8E59-1209EF22E208}" xr6:coauthVersionLast="47" xr6:coauthVersionMax="47" xr10:uidLastSave="{1F2666CF-F8EE-409C-BDDD-FE94535DB90E}"/>
  <bookViews>
    <workbookView xWindow="29100" yWindow="75" windowWidth="28530" windowHeight="15435" activeTab="6" xr2:uid="{00000000-000D-0000-FFFF-FFFF00000000}"/>
  </bookViews>
  <sheets>
    <sheet name="HybridRetriever" sheetId="41" r:id="rId1"/>
    <sheet name="Future Codex Prompts" sheetId="38" r:id="rId2"/>
    <sheet name="AZURE" sheetId="37" r:id="rId3"/>
    <sheet name="UI Use Cases" sheetId="35" r:id="rId4"/>
    <sheet name="Payload" sheetId="36" r:id="rId5"/>
    <sheet name="AGENT" sheetId="33" r:id="rId6"/>
    <sheet name="AGENTS" sheetId="17" r:id="rId7"/>
    <sheet name="AI REASONING" sheetId="32" r:id="rId8"/>
    <sheet name="AGENT NODES" sheetId="34" r:id="rId9"/>
    <sheet name="Directory &amp; Classes Mapping" sheetId="23" r:id="rId10"/>
    <sheet name="RunTime Control Matrix" sheetId="28" r:id="rId11"/>
    <sheet name="CLASSES" sheetId="13" r:id="rId12"/>
    <sheet name="Tabelle1" sheetId="40" r:id="rId13"/>
    <sheet name="CANONICAL STATES &amp; CLASSES " sheetId="14" r:id="rId14"/>
    <sheet name="MASTER CLASS &amp; METHOD TABLE" sheetId="30" r:id="rId15"/>
    <sheet name="USE CASES" sheetId="19" r:id="rId16"/>
    <sheet name="NODES" sheetId="12" r:id="rId17"/>
    <sheet name="D1_ProblemDefinition" sheetId="1" r:id="rId18"/>
    <sheet name="D2_TeamScope" sheetId="2" r:id="rId19"/>
    <sheet name="D3_ImmediateActions" sheetId="3" r:id="rId20"/>
    <sheet name="D4_RootCauseAnalysis" sheetId="4" r:id="rId21"/>
    <sheet name="D5_CorrectiveActions" sheetId="5" r:id="rId22"/>
    <sheet name="D6_Validation" sheetId="6" r:id="rId23"/>
    <sheet name="D7_Prevention" sheetId="7" r:id="rId24"/>
    <sheet name="D8_ClosureLearning" sheetId="8" r:id="rId25"/>
    <sheet name="Conversation_Process" sheetId="9" r:id="rId26"/>
    <sheet name="Strategy_Learning" sheetId="10" r:id="rId27"/>
    <sheet name="Tabelle3" sheetId="39" r:id="rId28"/>
    <sheet name="Sheet20" sheetId="31" r:id="rId29"/>
    <sheet name="RUNTIME JSON" sheetId="20" r:id="rId30"/>
    <sheet name="ENTRY HANDING" sheetId="24" r:id="rId31"/>
    <sheet name="FILES" sheetId="25" r:id="rId32"/>
    <sheet name="state.py" sheetId="26" r:id="rId33"/>
    <sheet name="conditions.py" sheetId="27" r:id="rId34"/>
    <sheet name="Push to talk " sheetId="29"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23" l="1" a="1"/>
  <c r="E39"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 P</author>
  </authors>
  <commentList>
    <comment ref="L2" authorId="0" shapeId="0" xr:uid="{95AB0D1C-B7F9-4D26-8225-23778B7D96D9}">
      <text>
        <r>
          <rPr>
            <b/>
            <sz val="9"/>
            <color indexed="81"/>
            <rFont val="Tahoma"/>
            <family val="2"/>
          </rPr>
          <t>v P:</t>
        </r>
        <r>
          <rPr>
            <sz val="9"/>
            <color indexed="81"/>
            <rFont val="Tahoma"/>
            <family val="2"/>
          </rPr>
          <t xml:space="preserve">
System truth, no intelligence
Identify + lifecycle + provenance
What it does at runtime
- Identifies which incident we’re talking about
- Determines whether reasoning is allowed
- Controls which workflows are legal
What it does NOT do
- It does not influence reasoning
- It is not interpreted by LLMs
- It never changes due to reasoning
Think of it as
- The incident’s passport
Ownership
- Written by: ENTRY / Ingestion
- Read by: All agents
- Never reasoned about</t>
        </r>
      </text>
    </comment>
    <comment ref="L7" authorId="0" shapeId="0" xr:uid="{70ABC3A9-79AF-4FF3-A89A-3555F1E0B931}">
      <text>
        <r>
          <rPr>
            <b/>
            <sz val="9"/>
            <color indexed="81"/>
            <rFont val="Tahoma"/>
            <family val="2"/>
          </rPr>
          <t>v P:</t>
        </r>
        <r>
          <rPr>
            <sz val="9"/>
            <color indexed="81"/>
            <rFont val="Tahoma"/>
            <family val="2"/>
          </rPr>
          <t xml:space="preserve">
IncidentContext — facts, not conclusions
What it is
- Observed facts + descriptions + constraints
Runtime behavior
- Built incrementally (UI + conversation)
- Read by every reasoning node
- Never overwritten wholesale
- Never inferred automatically
Key rule
- If a human didn’t say it, it doesn’t go here.
Think of it as
- The case file on the table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 P</author>
  </authors>
  <commentList>
    <comment ref="L5" authorId="0" shapeId="0" xr:uid="{738B59CB-E0ED-4857-9AD0-A96EDE57E04B}">
      <text>
        <r>
          <rPr>
            <b/>
            <sz val="9"/>
            <color indexed="81"/>
            <rFont val="Tahoma"/>
          </rPr>
          <t>v P:</t>
        </r>
        <r>
          <rPr>
            <sz val="9"/>
            <color indexed="81"/>
            <rFont val="Tahoma"/>
          </rPr>
          <t xml:space="preserve">
This is where confusion usually comes from — so let’s be precise.
📦 EntryEnvelope — how things ENTER the system
Who creates it
- UI
- Upload buttons
- Conversation frontend
What it does
Normalize user intent into a routable signal
Example:
{  "entry_mode": "UC3",  "case_id": "INC-001",  "payload": {...}}
What happens next
1. EntryAgent receives it
2. Routes to the correct system path
3. Possibly mutates IncidentState (ingestion)
4. Emits an event
5.Stops
Key rule
- Entry never reasons.
Think of it as
-A mailroom envelope</t>
        </r>
      </text>
    </comment>
    <comment ref="L8" authorId="0" shapeId="0" xr:uid="{EBDA331E-4583-4FB0-A71D-72A6EB5B4D74}">
      <text>
        <r>
          <rPr>
            <b/>
            <sz val="9"/>
            <color indexed="81"/>
            <rFont val="Tahoma"/>
          </rPr>
          <t>v P:</t>
        </r>
        <r>
          <rPr>
            <sz val="9"/>
            <color indexed="81"/>
            <rFont val="Tahoma"/>
          </rPr>
          <t xml:space="preserve">
AgentResponseEnvelope — internal only
This is not an API object.
It exists only during execution.
Purpose
- Standardize node outputs
- Carry ready_for_next_phase
- Feed LangGraph edge decisions
Who sees it
- LangGraph
- Not the UI
- Not persistence
Think of it as
- A sealed verdict slip</t>
        </r>
      </text>
    </comment>
    <comment ref="L32" authorId="0" shapeId="0" xr:uid="{D02C70D3-4F37-4E5D-A079-A7E220A89653}">
      <text>
        <r>
          <rPr>
            <b/>
            <sz val="9"/>
            <color indexed="81"/>
            <rFont val="Tahoma"/>
          </rPr>
          <t>v P:</t>
        </r>
        <r>
          <rPr>
            <sz val="9"/>
            <color indexed="81"/>
            <rFont val="Tahoma"/>
          </rPr>
          <t xml:space="preserve">
CaseMemory / EvidenceMemory / KnowledgeMemory
They do ONE thing only
Answer questions about things not in the current IncidentState
Runtime behavior
- Queried by agents
- Never modified by agents
- Never passed through LangGraph
- Never stored in IncidentState
Example:
- "Have we seen similar failures on Line 3?"
Think of memory as
- A library reference desk, not a notebook</t>
        </r>
      </text>
    </comment>
    <comment ref="L52" authorId="0" shapeId="0" xr:uid="{2EE745E5-CD88-4133-85E7-53D0BDA389A0}">
      <text>
        <r>
          <rPr>
            <b/>
            <sz val="9"/>
            <color indexed="81"/>
            <rFont val="Tahoma"/>
            <family val="2"/>
          </rPr>
          <t>v P:</t>
        </r>
        <r>
          <rPr>
            <sz val="9"/>
            <color indexed="81"/>
            <rFont val="Tahoma"/>
            <family val="2"/>
          </rPr>
          <t xml:space="preserve">
ReasoningState — explicit conclusions
What it is
- Structured outputs of reasoning nodes
Each DX node:
- runs once (unless looped)
- produces one authoritative output
- writes one key into reasoning_state
Example:
- reasoning_state["ImmediateActions"] = ImmediateActionsOutput(...)
What this gives you
- No hidden conclusions
- No “LLM vibe memory”
- Full auditability
Think of it as
- The decision log, not the discussion</t>
        </r>
      </text>
    </comment>
    <comment ref="L58" authorId="0" shapeId="0" xr:uid="{261FF605-66C9-4110-B564-6AD2EA315963}">
      <text>
        <r>
          <rPr>
            <b/>
            <sz val="9"/>
            <color indexed="81"/>
            <rFont val="Tahoma"/>
            <family val="2"/>
          </rPr>
          <t>v P:</t>
        </r>
        <r>
          <rPr>
            <sz val="9"/>
            <color indexed="81"/>
            <rFont val="Tahoma"/>
            <family val="2"/>
          </rPr>
          <t xml:space="preserve">
IncidentState — the only thing LangGraph moves
IncidentState = {
  meta,  incident_context,  artifacts,  reasoning_state}
Runtime rule
LangGraph passes ONLY this object between nodes.
Agents:
- read from it
- may write their own section
- never mutate others’ conclusions
Think of it as
- The shared blackboard</t>
        </r>
      </text>
    </comment>
    <comment ref="L66" authorId="0" shapeId="0" xr:uid="{8277BB2B-941A-4B3C-B756-EEA27E9251BD}">
      <text>
        <r>
          <rPr>
            <b/>
            <sz val="9"/>
            <color indexed="81"/>
            <rFont val="Tahoma"/>
            <family val="2"/>
          </rPr>
          <t>v P:</t>
        </r>
        <r>
          <rPr>
            <sz val="9"/>
            <color indexed="81"/>
            <rFont val="Tahoma"/>
            <family val="2"/>
          </rPr>
          <t xml:space="preserve">
System truth, no intelligence
Identify + lifecycle + provenance
What it does at runtime
- Identifies which incident we’re talking about
- Determines whether reasoning is allowed
- Controls which workflows are legal
What it does NOT do
- It does not influence reasoning
- It is not interpreted by LLMs
- It never changes due to reasoning
Think of it as
- The incident’s passport
Ownership
- Written by: ENTRY / Ingestion
- Read by: All agents
- Never reasoned about</t>
        </r>
      </text>
    </comment>
    <comment ref="L71" authorId="0" shapeId="0" xr:uid="{BF8BA1FF-E36B-4F3F-8909-BC1C8D32533D}">
      <text>
        <r>
          <rPr>
            <b/>
            <sz val="9"/>
            <color indexed="81"/>
            <rFont val="Tahoma"/>
            <family val="2"/>
          </rPr>
          <t>v P:</t>
        </r>
        <r>
          <rPr>
            <sz val="9"/>
            <color indexed="81"/>
            <rFont val="Tahoma"/>
            <family val="2"/>
          </rPr>
          <t xml:space="preserve">
IncidentContext — facts, not conclusions
What it is
- Observed facts + descriptions + constraints
Runtime behavior
- Built incrementally (UI + conversation)
- Read by every reasoning node
- Never overwritten wholesale
- Never inferred automatically
Key rule
- If a human didn’t say it, it doesn’t go here.
Think of it as
- The case file on the table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futureMetadata name="XLDAPR" count="1">
    <bk>
      <extLst>
        <ext uri="{bdbb8cdc-fa1e-496e-a857-3c3f30c029c3}">
          <xda:dynamicArrayProperties fDynamic="1" fCollapsed="0"/>
        </ext>
      </extLst>
    </bk>
  </futureMetadata>
  <cellMetadata count="1">
    <bk>
      <rc t="2" v="0"/>
    </bk>
  </cellMetadata>
  <valueMetadata count="3">
    <bk>
      <rc t="1" v="0"/>
    </bk>
    <bk>
      <rc t="1" v="1"/>
    </bk>
    <bk>
      <rc t="1" v="2"/>
    </bk>
  </valueMetadata>
</metadata>
</file>

<file path=xl/sharedStrings.xml><?xml version="1.0" encoding="utf-8"?>
<sst xmlns="http://schemas.openxmlformats.org/spreadsheetml/2006/main" count="2621" uniqueCount="1226">
  <si>
    <t>Aspect</t>
  </si>
  <si>
    <t>Details</t>
  </si>
  <si>
    <t>Purpose</t>
  </si>
  <si>
    <t>Eligibility</t>
  </si>
  <si>
    <t>Inputs_Read</t>
  </si>
  <si>
    <t>incident_context, artifacts</t>
  </si>
  <si>
    <t>Reasoning_Focus</t>
  </si>
  <si>
    <t>Outputs</t>
  </si>
  <si>
    <t>Enables_Next</t>
  </si>
  <si>
    <t>D2_TeamScope</t>
  </si>
  <si>
    <t>Human_In_Loop</t>
  </si>
  <si>
    <t>Yes</t>
  </si>
  <si>
    <t>Writes_State</t>
  </si>
  <si>
    <t>Pydantic Class</t>
  </si>
  <si>
    <t>Field</t>
  </si>
  <si>
    <t>Type</t>
  </si>
  <si>
    <t>Description</t>
  </si>
  <si>
    <t>node</t>
  </si>
  <si>
    <t>Literal</t>
  </si>
  <si>
    <t>D1_ProblemDefinition</t>
  </si>
  <si>
    <t>content</t>
  </si>
  <si>
    <t>dict</t>
  </si>
  <si>
    <t>Structured output for node</t>
  </si>
  <si>
    <t>ready_for_next_phase</t>
  </si>
  <si>
    <t>bool</t>
  </si>
  <si>
    <t>Gate to next node</t>
  </si>
  <si>
    <t>Prompt boundary</t>
  </si>
  <si>
    <t>Content</t>
  </si>
  <si>
    <t>SYSTEM</t>
  </si>
  <si>
    <t>GOAL</t>
  </si>
  <si>
    <t>ALLOWED</t>
  </si>
  <si>
    <t>Node-specific reasoning only</t>
  </si>
  <si>
    <t>INPUT</t>
  </si>
  <si>
    <t>MUST</t>
  </si>
  <si>
    <t>Produce structured output, decide readiness</t>
  </si>
  <si>
    <t>FORBIDDEN</t>
  </si>
  <si>
    <t>Expose chain-of-thought</t>
  </si>
  <si>
    <t>OUTPUT</t>
  </si>
  <si>
    <t>LangGraph</t>
  </si>
  <si>
    <t>Definition</t>
  </si>
  <si>
    <t>Entry_Condition</t>
  </si>
  <si>
    <t>Graph_Node</t>
  </si>
  <si>
    <t>Success_Edge</t>
  </si>
  <si>
    <t>Loop_Edge</t>
  </si>
  <si>
    <t>incident_context</t>
  </si>
  <si>
    <t>team, scope</t>
  </si>
  <si>
    <t>D3_ImmediateActions</t>
  </si>
  <si>
    <t>reasoning_state.D2_TeamScope</t>
  </si>
  <si>
    <t>D2_TeamScopeOutput</t>
  </si>
  <si>
    <t>You are executing the D2_TeamScope node.</t>
  </si>
  <si>
    <t>Must follow D2_TeamScopeOutput schema</t>
  </si>
  <si>
    <t>ready_for_next_phase == True -&gt; D3_ImmediateActions</t>
  </si>
  <si>
    <t>False -&gt; D2_TeamScope</t>
  </si>
  <si>
    <t>actions, containment_status</t>
  </si>
  <si>
    <t>D4_RootCauseAnalysis</t>
  </si>
  <si>
    <t>reasoning_state.D3_ImmediateActions</t>
  </si>
  <si>
    <t>D3_ImmediateActionsOutput</t>
  </si>
  <si>
    <t>You are executing the D3_ImmediateActions node.</t>
  </si>
  <si>
    <t>Must follow D3_ImmediateActionsOutput schema</t>
  </si>
  <si>
    <t>ready_for_next_phase == True -&gt; D4_RootCauseAnalysis</t>
  </si>
  <si>
    <t>False -&gt; D3_ImmediateActions</t>
  </si>
  <si>
    <t>Identify root causes</t>
  </si>
  <si>
    <t>Immediate actions done</t>
  </si>
  <si>
    <t>incident_context, artifacts, knowledge</t>
  </si>
  <si>
    <t>root_causes</t>
  </si>
  <si>
    <t>D5_CorrectiveActions</t>
  </si>
  <si>
    <t>reasoning_state.D4_RootCauseAnalysis</t>
  </si>
  <si>
    <t>D4_RootCauseAnalysisOutput</t>
  </si>
  <si>
    <t>You are executing the D4_RootCauseAnalysis node.</t>
  </si>
  <si>
    <t>Must follow D4_RootCauseAnalysisOutput schema</t>
  </si>
  <si>
    <t>ready_for_next_phase == True -&gt; D5_CorrectiveActions</t>
  </si>
  <si>
    <t>False -&gt; D4_RootCauseAnalysis</t>
  </si>
  <si>
    <t>Define corrective actions</t>
  </si>
  <si>
    <t>incident_context, knowledge</t>
  </si>
  <si>
    <t>corrective_actions</t>
  </si>
  <si>
    <t>D6_Validation</t>
  </si>
  <si>
    <t>reasoning_state.D5_CorrectiveActions</t>
  </si>
  <si>
    <t>D5_CorrectiveActionsOutput</t>
  </si>
  <si>
    <t>You are executing the D5_CorrectiveActions node.</t>
  </si>
  <si>
    <t>Must follow D5_CorrectiveActionsOutput schema</t>
  </si>
  <si>
    <t>ready_for_next_phase == True -&gt; D6_Validation</t>
  </si>
  <si>
    <t>False -&gt; D5_CorrectiveActions</t>
  </si>
  <si>
    <t>incident_context, evidence</t>
  </si>
  <si>
    <t>validation_results</t>
  </si>
  <si>
    <t>D7_Prevention</t>
  </si>
  <si>
    <t>reasoning_state.D6_Validation</t>
  </si>
  <si>
    <t>D6_ValidationOutput</t>
  </si>
  <si>
    <t>You are executing the D6_Validation node.</t>
  </si>
  <si>
    <t>Must follow D6_ValidationOutput schema</t>
  </si>
  <si>
    <t>ready_for_next_phase == True -&gt; D7_Prevention</t>
  </si>
  <si>
    <t>False -&gt; D6_Validation</t>
  </si>
  <si>
    <t>Validation successful</t>
  </si>
  <si>
    <t>Systemic prevention</t>
  </si>
  <si>
    <t>D8_ClosureLearning</t>
  </si>
  <si>
    <t>reasoning_state.D7_Prevention</t>
  </si>
  <si>
    <t>D7_PreventionOutput</t>
  </si>
  <si>
    <t>You are executing the D7_Prevention node.</t>
  </si>
  <si>
    <t>Must follow D7_PreventionOutput schema</t>
  </si>
  <si>
    <t>ready_for_next_phase == True -&gt; D8_ClosureLearning</t>
  </si>
  <si>
    <t>False -&gt; D7_Prevention</t>
  </si>
  <si>
    <t>incident_context, reasoning_state</t>
  </si>
  <si>
    <t>Learning capture</t>
  </si>
  <si>
    <t>Closed</t>
  </si>
  <si>
    <t>reasoning_state.D8_ClosureLearning</t>
  </si>
  <si>
    <t>D8_ClosureLearningOutput</t>
  </si>
  <si>
    <t>You are executing the D8_ClosureLearning node.</t>
  </si>
  <si>
    <t>Must follow D8_ClosureLearningOutput schema</t>
  </si>
  <si>
    <t>ready_for_next_phase == True -&gt; Closed</t>
  </si>
  <si>
    <t>False -&gt; D8_ClosureLearning</t>
  </si>
  <si>
    <t>draft_updates</t>
  </si>
  <si>
    <t>Conversation_ProcessOutput</t>
  </si>
  <si>
    <t>Conversation_Process</t>
  </si>
  <si>
    <t>You are executing the Conversation_Process node.</t>
  </si>
  <si>
    <t>Must follow Conversation_ProcessOutput schema</t>
  </si>
  <si>
    <t>ready_for_next_phase == True -&gt; D1_ProblemDefinition</t>
  </si>
  <si>
    <t>False -&gt; Conversation_Process</t>
  </si>
  <si>
    <t>Cross-case organizational learning</t>
  </si>
  <si>
    <t>Case is closed</t>
  </si>
  <si>
    <t>closed cases, evidence, knowledge</t>
  </si>
  <si>
    <t>Pattern extraction</t>
  </si>
  <si>
    <t>strategy_insights</t>
  </si>
  <si>
    <t>End</t>
  </si>
  <si>
    <t>none</t>
  </si>
  <si>
    <t>Strategy_LearningOutput</t>
  </si>
  <si>
    <t>Strategy_Learning</t>
  </si>
  <si>
    <t>You are executing the Strategy_Learning node.</t>
  </si>
  <si>
    <t>Must follow Strategy_LearningOutput schema</t>
  </si>
  <si>
    <t>ready_for_next_phase == True -&gt; End</t>
  </si>
  <si>
    <t>False -&gt; Strategy_Learning</t>
  </si>
  <si>
    <t>reasoning_state.Prevention</t>
  </si>
  <si>
    <t>str</t>
  </si>
  <si>
    <t>scope</t>
  </si>
  <si>
    <t>PreventionOutput</t>
  </si>
  <si>
    <t>Node identifier</t>
  </si>
  <si>
    <t>preventive_measures</t>
  </si>
  <si>
    <t>List[PreventiveMeasure]</t>
  </si>
  <si>
    <t>related_past_cases</t>
  </si>
  <si>
    <t>List[str]</t>
  </si>
  <si>
    <t>implementation_priority</t>
  </si>
  <si>
    <t>Gate to closure</t>
  </si>
  <si>
    <t>Node Class Skeleton</t>
  </si>
  <si>
    <t>Code</t>
  </si>
  <si>
    <t>Prompt Boundary</t>
  </si>
  <si>
    <t>Prevention</t>
  </si>
  <si>
    <t>State Normalization</t>
  </si>
  <si>
    <t>Output -&gt; reasoning_state</t>
  </si>
  <si>
    <t>IncidentMeta</t>
  </si>
  <si>
    <t>Required</t>
  </si>
  <si>
    <t>case_id</t>
  </si>
  <si>
    <t>Unique incident identifier</t>
  </si>
  <si>
    <t>status</t>
  </si>
  <si>
    <t>Literal["draft","open","closed"]</t>
  </si>
  <si>
    <t>Lifecycle state</t>
  </si>
  <si>
    <t>source</t>
  </si>
  <si>
    <t>Literal["ui","conversation","batch"]</t>
  </si>
  <si>
    <t>Origin of incident</t>
  </si>
  <si>
    <t>created_at</t>
  </si>
  <si>
    <t>datetime</t>
  </si>
  <si>
    <t>Creation timestamp</t>
  </si>
  <si>
    <t>updated_at</t>
  </si>
  <si>
    <t>Last update timestamp</t>
  </si>
  <si>
    <t>problem_statement</t>
  </si>
  <si>
    <t>Optional[str]</t>
  </si>
  <si>
    <t>No</t>
  </si>
  <si>
    <t>Observed issue</t>
  </si>
  <si>
    <t>location</t>
  </si>
  <si>
    <t>Site / line / area</t>
  </si>
  <si>
    <t>asset</t>
  </si>
  <si>
    <t>Equipment involved</t>
  </si>
  <si>
    <t>process</t>
  </si>
  <si>
    <t>Process step</t>
  </si>
  <si>
    <t>impact</t>
  </si>
  <si>
    <t>Business / operational impact</t>
  </si>
  <si>
    <t>timeline</t>
  </si>
  <si>
    <t>Sequence of events</t>
  </si>
  <si>
    <t>involved_roles</t>
  </si>
  <si>
    <t>Roles involved</t>
  </si>
  <si>
    <t>ReasoningState</t>
  </si>
  <si>
    <t>ImmediateActions</t>
  </si>
  <si>
    <t>D3 output</t>
  </si>
  <si>
    <t>CauseAnalysis</t>
  </si>
  <si>
    <t>D4 output</t>
  </si>
  <si>
    <t>CorrectiveActions</t>
  </si>
  <si>
    <t>D5 output</t>
  </si>
  <si>
    <t>Validation</t>
  </si>
  <si>
    <t>D6 output</t>
  </si>
  <si>
    <t>D7 output</t>
  </si>
  <si>
    <t>Closure</t>
  </si>
  <si>
    <t>D8 output</t>
  </si>
  <si>
    <t>IncidentState</t>
  </si>
  <si>
    <t>meta</t>
  </si>
  <si>
    <t>System metadata</t>
  </si>
  <si>
    <t>IncidentContext</t>
  </si>
  <si>
    <t>Facts &amp; observations</t>
  </si>
  <si>
    <t>artifacts</t>
  </si>
  <si>
    <t>List[dict]</t>
  </si>
  <si>
    <t>Evidence references only</t>
  </si>
  <si>
    <t>reasoning_state</t>
  </si>
  <si>
    <t>Structured DX outputs</t>
  </si>
  <si>
    <t>EntryEnvelope</t>
  </si>
  <si>
    <t>entry_mode</t>
  </si>
  <si>
    <t>Literal["UC1","UC2","UC3","UC4","UC5"]</t>
  </si>
  <si>
    <t>Routing key</t>
  </si>
  <si>
    <t>Target case</t>
  </si>
  <si>
    <t>payload</t>
  </si>
  <si>
    <t>Opaque data</t>
  </si>
  <si>
    <t>AgentResponseEnvelope</t>
  </si>
  <si>
    <t>Node name</t>
  </si>
  <si>
    <t>output</t>
  </si>
  <si>
    <t>BaseModel</t>
  </si>
  <si>
    <t>Structured node output</t>
  </si>
  <si>
    <t>Graph gate</t>
  </si>
  <si>
    <t>ImmediateActionsOutput</t>
  </si>
  <si>
    <t>Literal["ImmediateActions"]</t>
  </si>
  <si>
    <t>Node ID</t>
  </si>
  <si>
    <t>actions</t>
  </si>
  <si>
    <t>List[ImmediateAction]</t>
  </si>
  <si>
    <t>Containment actions</t>
  </si>
  <si>
    <t>containment_status</t>
  </si>
  <si>
    <t>Literal["contained","partially_contained","not_contained"]</t>
  </si>
  <si>
    <t>Status</t>
  </si>
  <si>
    <t>residual_risk</t>
  </si>
  <si>
    <t>Remaining risk</t>
  </si>
  <si>
    <t>Literal["Prevention"]</t>
  </si>
  <si>
    <t>Measures</t>
  </si>
  <si>
    <t>Supporting cases</t>
  </si>
  <si>
    <t>Literal["low","medium","high"]</t>
  </si>
  <si>
    <t>Priority</t>
  </si>
  <si>
    <t>CaseMemory</t>
  </si>
  <si>
    <t>Method</t>
  </si>
  <si>
    <t>Input</t>
  </si>
  <si>
    <t>Output</t>
  </si>
  <si>
    <t>find_similar_cases</t>
  </si>
  <si>
    <t>List[CaseSummary]</t>
  </si>
  <si>
    <t>find_closed_cases</t>
  </si>
  <si>
    <t>Filters</t>
  </si>
  <si>
    <t>Learning</t>
  </si>
  <si>
    <t>EvidenceMemory</t>
  </si>
  <si>
    <t>find_supporting_evidence</t>
  </si>
  <si>
    <t>Hypothesis</t>
  </si>
  <si>
    <t>get_evidence_for_case</t>
  </si>
  <si>
    <t>Context</t>
  </si>
  <si>
    <t>evidence_index_v1</t>
  </si>
  <si>
    <t>retrieve_policies</t>
  </si>
  <si>
    <t>Topic</t>
  </si>
  <si>
    <t>List[DocRef]</t>
  </si>
  <si>
    <t>Guidance</t>
  </si>
  <si>
    <t>retrieve_procedures</t>
  </si>
  <si>
    <t>KnowledgeMemory</t>
  </si>
  <si>
    <t>knowledge_index_v1</t>
  </si>
  <si>
    <t>EntryAgent</t>
  </si>
  <si>
    <t>Role</t>
  </si>
  <si>
    <t>Normalize UI events and route UC</t>
  </si>
  <si>
    <t>Reads</t>
  </si>
  <si>
    <t>Writes</t>
  </si>
  <si>
    <t>None</t>
  </si>
  <si>
    <t>Owns Classes</t>
  </si>
  <si>
    <t>Never Does</t>
  </si>
  <si>
    <t>Reasoning, memory access</t>
  </si>
  <si>
    <r>
      <rPr>
        <b/>
        <sz val="16"/>
        <color theme="0"/>
        <rFont val="Calibri"/>
        <family val="2"/>
        <scheme val="minor"/>
      </rPr>
      <t>AGENTS — WHAT EXISTS &amp; WHAT THEY OWN</t>
    </r>
    <r>
      <rPr>
        <sz val="11"/>
        <color theme="0"/>
        <rFont val="Calibri"/>
        <family val="2"/>
        <scheme val="minor"/>
      </rPr>
      <t xml:space="preserve">
</t>
    </r>
    <r>
      <rPr>
        <sz val="14"/>
        <color theme="0"/>
        <rFont val="Calibri"/>
        <family val="2"/>
        <scheme val="minor"/>
      </rPr>
      <t>This is the most important table.</t>
    </r>
  </si>
  <si>
    <t>ConversationAgent</t>
  </si>
  <si>
    <t>Convert free-form input into structured draft</t>
  </si>
  <si>
    <r>
      <t>IncidentContext</t>
    </r>
    <r>
      <rPr>
        <sz val="11"/>
        <color theme="1"/>
        <rFont val="Calibri"/>
        <family val="2"/>
        <scheme val="minor"/>
      </rPr>
      <t xml:space="preserve">, </t>
    </r>
    <r>
      <rPr>
        <sz val="10"/>
        <color theme="1"/>
        <rFont val="Arial Unicode MS"/>
      </rPr>
      <t>CaseMemory</t>
    </r>
  </si>
  <si>
    <r>
      <t>IncidentContext</t>
    </r>
    <r>
      <rPr>
        <sz val="11"/>
        <color theme="1"/>
        <rFont val="Calibri"/>
        <family val="2"/>
        <scheme val="minor"/>
      </rPr>
      <t xml:space="preserve"> (draft only)</t>
    </r>
  </si>
  <si>
    <t>Draft updates (no DX outputs)</t>
  </si>
  <si>
    <t>Ingestion, closure</t>
  </si>
  <si>
    <t>Owns D1–D8 operational reasoning</t>
  </si>
  <si>
    <t>IncidentState, all Memory classes</t>
  </si>
  <si>
    <t>ReasoningState.Dx</t>
  </si>
  <si>
    <t>All DX Output models</t>
  </si>
  <si>
    <t>Direct persistence, UI parsing</t>
  </si>
  <si>
    <t>EvidenceAgent</t>
  </si>
  <si>
    <t>KnowledgeAgent</t>
  </si>
  <si>
    <t>Interpret evidence meaning</t>
  </si>
  <si>
    <t>None (supports CaseAgent)</t>
  </si>
  <si>
    <t>Evidence interpretation helpers</t>
  </si>
  <si>
    <t>Interpret policies / procedures</t>
  </si>
  <si>
    <t>Guidance abstractions</t>
  </si>
  <si>
    <t>StrategyAgent</t>
  </si>
  <si>
    <t>Closed IncidentState + all memory</t>
  </si>
  <si>
    <t>Strategy outputs (not IncidentState)</t>
  </si>
  <si>
    <t>StrategyInsight models</t>
  </si>
  <si>
    <t>Touch live cases</t>
  </si>
  <si>
    <r>
      <t>CaseAgent</t>
    </r>
    <r>
      <rPr>
        <b/>
        <sz val="14"/>
        <color theme="1"/>
        <rFont val="Calibri"/>
        <family val="2"/>
        <scheme val="minor"/>
      </rPr>
      <t xml:space="preserve"> (Core)</t>
    </r>
  </si>
  <si>
    <t>WHO IS ALLOED TO THINK</t>
  </si>
  <si>
    <t>Consumes EntryEnvelope
Calls ingestion services
Emits events
Does not touch LangGraph</t>
  </si>
  <si>
    <t>Reads IncidentContext
Writes IncidentContext (draft)
May query CaseMemory
Never writes ReasoningState</t>
  </si>
  <si>
    <t>Helpers
Provide interpretation
Never write state
Never control flow</t>
  </si>
  <si>
    <t>Separate graph
Only reads closed cases
Never touches live IncidentState</t>
  </si>
  <si>
    <t>UC1 — Create Case (UI)</t>
  </si>
  <si>
    <r>
      <rPr>
        <b/>
        <sz val="18"/>
        <color theme="0"/>
        <rFont val="Calibri"/>
        <family val="2"/>
        <scheme val="minor"/>
      </rPr>
      <t>END-TO-END RUNTIME EXECUTION — PER USE CASE</t>
    </r>
    <r>
      <rPr>
        <sz val="11"/>
        <color theme="0"/>
        <rFont val="Calibri"/>
        <family val="2"/>
        <scheme val="minor"/>
      </rPr>
      <t xml:space="preserve">
</t>
    </r>
    <r>
      <rPr>
        <sz val="14"/>
        <color theme="0"/>
        <rFont val="Calibri"/>
        <family val="2"/>
        <scheme val="minor"/>
      </rPr>
      <t>Now the most important part.</t>
    </r>
  </si>
  <si>
    <t>UI
 └─ EntryEnvelope(UC1)
     └─ EntryAgent
         ├─ Create IncidentMeta
         ├─ Create empty IncidentContext
         ├─ Create empty ReasoningState
         └─ Persist IncidentState</t>
  </si>
  <si>
    <t>➡️ No agents
➡️ No memory
➡️ No LangGraph</t>
  </si>
  <si>
    <t>UC2 — Update Case Fields (autosave)</t>
  </si>
  <si>
    <t>UI
 └─ EntryEnvelope(UC2)
     └─ EntryAgent
         └─ Update IncidentContext fields</t>
  </si>
  <si>
    <t>➡️ Reasoning not triggered
➡️ Context enriched only</t>
  </si>
  <si>
    <t>UC3 — Upload Evidence</t>
  </si>
  <si>
    <t>UI
 └─ EntryEnvelope(UC3)
     └─ EntryAgent
         ├─ Store blob
         ├─ Update artifacts[]
         └─ Index evidence</t>
  </si>
  <si>
    <t>➡️ Evidence is referenced, not reasoned</t>
  </si>
  <si>
    <t>Conversation (draft mode)</t>
  </si>
  <si>
    <t>UI / Voice
 └─ EntryEnvelope(conversation)
     └─ ConversationAgent
         ├─ Read IncidentContext
         ├─ Query CaseMemory (optional)
         └─ Write IncidentContext (draft)</t>
  </si>
  <si>
    <t>➡️ No ReasoningState touched
➡️ No LangGraph</t>
  </si>
  <si>
    <t>Run AI (Operational D1–D8)</t>
  </si>
  <si>
    <r>
      <rPr>
        <b/>
        <sz val="11"/>
        <color theme="1"/>
        <rFont val="Calibri"/>
        <family val="2"/>
        <scheme val="minor"/>
      </rPr>
      <t>UI: "Run AI"</t>
    </r>
    <r>
      <rPr>
        <sz val="11"/>
        <color theme="1"/>
        <rFont val="Calibri"/>
        <family val="2"/>
        <scheme val="minor"/>
      </rPr>
      <t xml:space="preserve">
 └─ EntryEnvelope(USER_RUN_AI)
     └─ Operational Mode
         └─ LangGraph starts
             └─ Pass IncidentState
                 └─ Dn Node
                     ├─ CaseAgent
                     ├─ EvidenceAgent (if needed)
                     ├─ KnowledgeAgent (if needed)
                     ├─ Memory queries
                     └─ Produce DxOutput
                         └─ Write reasoning_state.Dn
                 └─ Edge decision
                     ├─ Loop
                     └─ Or next node</t>
    </r>
  </si>
  <si>
    <t>➡️ Only now reasoning happens
➡️ Only node-owned section is written</t>
  </si>
  <si>
    <t>Strategy (closed cases)</t>
  </si>
  <si>
    <t>UI
 └─ EntryEnvelope(STRATEGY_RUN)
     └─ StrategyAgent
         ├─ Query CaseMemory
         ├─ Query EvidenceMemory
         ├─ Query KnowledgeMemory
         └─ Produce StrategyInsights</t>
  </si>
  <si>
    <t>➡️ IncidentState untouched
➡️ Separate graph</t>
  </si>
  <si>
    <r>
      <rPr>
        <b/>
        <sz val="16"/>
        <color theme="0"/>
        <rFont val="Calibri"/>
        <family val="2"/>
        <scheme val="minor"/>
      </rPr>
      <t>RUNTIME TRACE (WHAT ACTUALLY HAPPENS, STEP BY STEP)</t>
    </r>
    <r>
      <rPr>
        <sz val="11"/>
        <color theme="0"/>
        <rFont val="Calibri"/>
        <family val="2"/>
        <scheme val="minor"/>
      </rPr>
      <t xml:space="preserve">
</t>
    </r>
    <r>
      <rPr>
        <sz val="12"/>
        <color theme="0"/>
        <rFont val="Calibri"/>
        <family val="2"/>
        <scheme val="minor"/>
      </rPr>
      <t>We’ll follow one realistic incident from creation → reasoning → closure.</t>
    </r>
  </si>
  <si>
    <t>UI action</t>
  </si>
  <si>
    <t>user clicks " create Incident"</t>
  </si>
  <si>
    <t>UI emits ENTRY ENVELOPE</t>
  </si>
  <si>
    <t>{
  "entry_mode": "UC1",
  "payload": {
    "source": "ui"
  }
}</t>
  </si>
  <si>
    <t>EntryAgent runs (NO LLM)</t>
  </si>
  <si>
    <t>📌 Important
No agents
No memory
No reasoning
No LangGraph
This is pure system state initialization.</t>
  </si>
  <si>
    <r>
      <t xml:space="preserve">IncidentState = {
  "meta": {
    "case_id": "INC-001",
   </t>
    </r>
    <r>
      <rPr>
        <b/>
        <sz val="11"/>
        <color theme="1"/>
        <rFont val="Calibri"/>
        <family val="2"/>
        <scheme val="minor"/>
      </rPr>
      <t xml:space="preserve"> "status": "draft",</t>
    </r>
    <r>
      <rPr>
        <sz val="11"/>
        <color theme="1"/>
        <rFont val="Calibri"/>
        <family val="2"/>
        <scheme val="minor"/>
      </rPr>
      <t xml:space="preserve">
    "source": "ui",
    "created_at": "...",
    "updated_at": "..."
  },
  "incident_context": {},
  "artifacts": [],
  "reasoning_state": {}
}</t>
    </r>
  </si>
  <si>
    <t>UC2 — User fills fields (autosave)</t>
  </si>
  <si>
    <t>User types:
Problem statement
Location
Impact</t>
  </si>
  <si>
    <t>ENTRY ENVELOPE</t>
  </si>
  <si>
    <t>{
  "entry_mode": "UC2",
  "case_id": "INC-001",
  "payload": {
    "problem_statement": "Defective output on Line 3",
    "location": "Plant A",
    "impact": "Customer risk"
  }
}</t>
  </si>
  <si>
    <t>EntryAgent updates ONLY IncidentContext</t>
  </si>
  <si>
    <t>"incident_context": {
  "problem_statement": "Defective output on Line 3",
  "location": "Plant A",
  "impact": "Customer risk"
}</t>
  </si>
  <si>
    <t>📌 Still no reasoning</t>
  </si>
  <si>
    <t>User uploads photo1.jpg</t>
  </si>
  <si>
    <t>{
  "entry_mode": "UC3",
  "case_id": "INC-001",
  "payload": {
    "file": "photo1.jpg"
  }
}</t>
  </si>
  <si>
    <t>"artifacts": [
  {
    "artifact_id": "EV-001",
    "type": "image",
    "uri": "blob://..."
  }
]</t>
  </si>
  <si>
    <t>Stores blob
Indexes evidence
Updates artifacts by reference
Note : Evidence content is never embedded in state.</t>
  </si>
  <si>
    <t>Conversation Mode ( Draft clarification)</t>
  </si>
  <si>
    <t>User speaks or types:
“This started during night shift, after maintenance.”</t>
  </si>
  <si>
    <t>{
  "entry_mode": "conversation",
  "case_id": "INC-001",
  "payload": {
    "utterance": "This started during night shift, after maintenance."
  }
}</t>
  </si>
  <si>
    <t>"incident_context": {
  "problem_statement": "...",
  "location": "...",
  "impact": "...",
  "timeline": "Occurred after night shift maintenance"
}</t>
  </si>
  <si>
    <r>
      <rPr>
        <i/>
        <sz val="11"/>
        <color rgb="FF002060"/>
        <rFont val="Calibri"/>
        <family val="2"/>
        <scheme val="minor"/>
      </rPr>
      <t xml:space="preserve">User speaks or types:
“This started during night shift, after maintenance.”
</t>
    </r>
    <r>
      <rPr>
        <sz val="11"/>
        <color theme="1"/>
        <rFont val="Calibri"/>
        <family val="2"/>
        <scheme val="minor"/>
      </rPr>
      <t xml:space="preserve">
Reads IncidentContext
Optionally queries CaseMemory
Writes IncidentContext
Note : ReasoningState untouched</t>
    </r>
  </si>
  <si>
    <t>User clicks " Run AI" (Operational)</t>
  </si>
  <si>
    <t>This is the first moment reasoning is allowed.</t>
  </si>
  <si>
    <t>{
  "entry_mode": "USER_RUN_AI",
  "case_id": "INC-001"
}</t>
  </si>
  <si>
    <t>System switches to Operational Mode
LangGraph starts with current IncidentState.</t>
  </si>
  <si>
    <t>LangGraph — D1 Problem Definition</t>
  </si>
  <si>
    <t>Input to Node</t>
  </si>
  <si>
    <t>IncidentState {
  meta,
  incident_context,
  artifacts,
  reasoning_state {}
}</t>
  </si>
  <si>
    <t>CaseAgent runs D1</t>
  </si>
  <si>
    <t>Reads IncidentContext
Queries CaseMemory (optional)
Produces structured output</t>
  </si>
  <si>
    <t>{
  "node": "ProblemDefinition",
  "problem_statement": "Defective output on Line 3 after maintenance",
  "scope": "Production line 3",
  "ready_for_next_phase": true
}</t>
  </si>
  <si>
    <t>Written to state</t>
  </si>
  <si>
    <t>"reasoning_state": {
  "ProblemDefinition": { ... }
}</t>
  </si>
  <si>
    <t>📌 Nothing else is modified</t>
  </si>
  <si>
    <t>D3 Immediate Actions (jumping ahead for clarity)</t>
  </si>
  <si>
    <t>{
  "node": "ImmediateActions",
  "actions": [
    {
      "action_id": "IA-01",
      "description": "Stop Line 3",
      "owner_role": "Production Supervisor",
      "reversible": true,
      "status": "suggested"
    }
  ],
  "containment_status": "partially_contained",
  "ready_for_next_phase": false
}</t>
  </si>
  <si>
    <r>
      <rPr>
        <b/>
        <sz val="11"/>
        <color theme="1"/>
        <rFont val="Calibri"/>
        <family val="2"/>
        <scheme val="minor"/>
      </rPr>
      <t>Input</t>
    </r>
    <r>
      <rPr>
        <sz val="11"/>
        <color theme="1"/>
        <rFont val="Calibri"/>
        <family val="2"/>
        <scheme val="minor"/>
      </rPr>
      <t xml:space="preserve">
IncidentContext
Artifacts
ReasoningState.D1
</t>
    </r>
    <r>
      <rPr>
        <b/>
        <sz val="11"/>
        <color theme="1"/>
        <rFont val="Calibri"/>
        <family val="2"/>
        <scheme val="minor"/>
      </rPr>
      <t>Graph behavior</t>
    </r>
    <r>
      <rPr>
        <sz val="11"/>
        <color theme="1"/>
        <rFont val="Calibri"/>
        <family val="2"/>
        <scheme val="minor"/>
      </rPr>
      <t xml:space="preserve">
ready_for_next_phase == false
Loop back to ImmediateActions
This is controlled recursion, not agent improvisation.</t>
    </r>
  </si>
  <si>
    <t>D7 Prevention</t>
  </si>
  <si>
    <t>"reasoning_state": {
  "Prevention": {
    "preventive_measures": [...],
    "related_past_cases": ["INC-0042"],
    "implementation_priority": "high",
    "ready_for_next_phase": true
  }
}</t>
  </si>
  <si>
    <t>D8 Closure</t>
  </si>
  <si>
    <t>"reasoning_state": {
  "Closure": {
    "lessons_learned": "...",
    "validated": true,
    "ready_for_next_phase": true
  }
}</t>
  </si>
  <si>
    <t>Meta update</t>
  </si>
  <si>
    <t>"meta": {
  "status": "closed"
}</t>
  </si>
  <si>
    <t>LANGGRAPH EXECUTION (NO MAGIC)</t>
  </si>
  <si>
    <r>
      <rPr>
        <b/>
        <sz val="11"/>
        <color theme="1"/>
        <rFont val="Calibri"/>
        <family val="2"/>
        <scheme val="minor"/>
      </rPr>
      <t>LangGraph simply:</t>
    </r>
    <r>
      <rPr>
        <sz val="11"/>
        <color theme="1"/>
        <rFont val="Calibri"/>
        <family val="2"/>
        <scheme val="minor"/>
      </rPr>
      <t xml:space="preserve">
- calls functions
- evaluates predicates
- passes IncidentState
</t>
    </r>
    <r>
      <rPr>
        <b/>
        <sz val="11"/>
        <color theme="1"/>
        <rFont val="Calibri"/>
        <family val="2"/>
        <scheme val="minor"/>
      </rPr>
      <t>Agents do not control flow.
LLMs do not control flow.</t>
    </r>
  </si>
  <si>
    <t>SINGLE GRAPHICAL OVERVIEW</t>
  </si>
  <si>
    <t>Clearly define and frame the problem</t>
  </si>
  <si>
    <t>Case is open and problem not yet defined</t>
  </si>
  <si>
    <t>Problem clarity and shared understanding</t>
  </si>
  <si>
    <t>problem_statement, scope, assumptions</t>
  </si>
  <si>
    <t>TeamScope</t>
  </si>
  <si>
    <t>reasoning_state.ProblemDefinition</t>
  </si>
  <si>
    <t>ProblemDefinitionOutput</t>
  </si>
  <si>
    <t>Literal['ProblemDefinition']</t>
  </si>
  <si>
    <t>Refined problem definition</t>
  </si>
  <si>
    <t>Operational scope</t>
  </si>
  <si>
    <t>assumptions</t>
  </si>
  <si>
    <t>Explicit assumptions</t>
  </si>
  <si>
    <t>Gate to D2</t>
  </si>
  <si>
    <t>class ProblemDefinitionOutput(BaseModel):
    node: Literal['ProblemDefinition'] = 'ProblemDefinition'
    problem_statement: str
    scope: str
    assumptions: List[str]
    ready_for_next_phase: bool</t>
  </si>
  <si>
    <t>You are executing the ProblemDefinition node.</t>
  </si>
  <si>
    <t>Clearly define the problem.</t>
  </si>
  <si>
    <t>Clarification and reframing</t>
  </si>
  <si>
    <t>Incident context and evidence</t>
  </si>
  <si>
    <t>Produce a clear problem statement</t>
  </si>
  <si>
    <t>Must follow ProblemDefinitionOutput schema</t>
  </si>
  <si>
    <t>reasoning_state.ProblemDefinition does not exist</t>
  </si>
  <si>
    <t>ProblemDefinition</t>
  </si>
  <si>
    <t>ready_for_next_phase == True -&gt; TeamScope</t>
  </si>
  <si>
    <t>False -&gt; ProblemDefinition</t>
  </si>
  <si>
    <t>state['reasoning_state']['ProblemDefinition'] = output</t>
  </si>
  <si>
    <t>Define team and scope</t>
  </si>
  <si>
    <t>Problem defined</t>
  </si>
  <si>
    <t>Responsibility alignment</t>
  </si>
  <si>
    <t>Literal['D2_TeamScope']</t>
  </si>
  <si>
    <t>data</t>
  </si>
  <si>
    <t>Structured node-specific output</t>
  </si>
  <si>
    <t>class D2_TeamScopeOutput(BaseModel):
    node: Literal['D2_TeamScope'] = 'D2_TeamScope'
    data: dict
    ready_for_next_phase: bool</t>
  </si>
  <si>
    <t>Node-specific bounded reasoning</t>
  </si>
  <si>
    <t>Produce structured output and readiness</t>
  </si>
  <si>
    <t>state['reasoning_state']['D2_TeamScope'] = output</t>
  </si>
  <si>
    <t>Contain the incident</t>
  </si>
  <si>
    <t>Incident ongoing/high impact</t>
  </si>
  <si>
    <t>Short-term containment</t>
  </si>
  <si>
    <t>Literal['D3_ImmediateActions']</t>
  </si>
  <si>
    <t>class D3_ImmediateActionsOutput(BaseModel):
    node: Literal['D3_ImmediateActions'] = 'D3_ImmediateActions'
    data: dict
    ready_for_next_phase: bool</t>
  </si>
  <si>
    <t>state['reasoning_state']['D3_ImmediateActions'] = output</t>
  </si>
  <si>
    <t>Causal analysis</t>
  </si>
  <si>
    <t>Literal['D4_RootCauseAnalysis']</t>
  </si>
  <si>
    <t>class D4_RootCauseAnalysisOutput(BaseModel):
    node: Literal['D4_RootCauseAnalysis'] = 'D4_RootCauseAnalysis'
    data: dict
    ready_for_next_phase: bool</t>
  </si>
  <si>
    <t>state['reasoning_state']['D4_RootCauseAnalysis'] = output</t>
  </si>
  <si>
    <t>Root causes known</t>
  </si>
  <si>
    <t>Permanent fixes</t>
  </si>
  <si>
    <t>Literal['D5_CorrectiveActions']</t>
  </si>
  <si>
    <t>class D5_CorrectiveActionsOutput(BaseModel):
    node: Literal['D5_CorrectiveActions'] = 'D5_CorrectiveActions'
    data: dict
    ready_for_next_phase: bool</t>
  </si>
  <si>
    <t>state['reasoning_state']['D5_CorrectiveActions'] = output</t>
  </si>
  <si>
    <t>Validate actions</t>
  </si>
  <si>
    <t>Corrective actions applied</t>
  </si>
  <si>
    <t>Effectiveness check</t>
  </si>
  <si>
    <t>Literal['D6_Validation']</t>
  </si>
  <si>
    <t>class D6_ValidationOutput(BaseModel):
    node: Literal['D6_Validation'] = 'D6_Validation'
    data: dict
    ready_for_next_phase: bool</t>
  </si>
  <si>
    <t>state['reasoning_state']['D6_Validation'] = output</t>
  </si>
  <si>
    <t>Prevent recurrence</t>
  </si>
  <si>
    <t>incident_context, reasoning_state, knowledge</t>
  </si>
  <si>
    <t>Literal['D7_Prevention']</t>
  </si>
  <si>
    <t>class D7_PreventionOutput(BaseModel):
    node: Literal['D7_Prevention'] = 'D7_Prevention'
    data: dict
    ready_for_next_phase: bool</t>
  </si>
  <si>
    <t>state['reasoning_state']['D7_Prevention'] = output</t>
  </si>
  <si>
    <t>Close case and capture learning</t>
  </si>
  <si>
    <t>All Dx complete</t>
  </si>
  <si>
    <t>lessons</t>
  </si>
  <si>
    <t>Literal['D8_ClosureLearning']</t>
  </si>
  <si>
    <t>class D8_ClosureLearningOutput(BaseModel):
    node: Literal['D8_ClosureLearning'] = 'D8_ClosureLearning'
    data: dict
    ready_for_next_phase: bool</t>
  </si>
  <si>
    <t>state['reasoning_state']['D8_ClosureLearning'] = output</t>
  </si>
  <si>
    <t>Draft incident via conversation</t>
  </si>
  <si>
    <t>Draft active</t>
  </si>
  <si>
    <t>conversation input</t>
  </si>
  <si>
    <t>Clarification</t>
  </si>
  <si>
    <t>Literal['Conversation_Process']</t>
  </si>
  <si>
    <t>class Conversation_ProcessOutput(BaseModel):
    node: Literal['Conversation_Process'] = 'Conversation_Process'
    data: dict
    ready_for_next_phase: bool</t>
  </si>
  <si>
    <t>state['reasoning_state']['Conversation_Process'] = output</t>
  </si>
  <si>
    <t>state['reasoning_state']['Strategy_Learning'] = output</t>
  </si>
  <si>
    <t>Directory</t>
  </si>
  <si>
    <t>File</t>
  </si>
  <si>
    <t>incident_state.py</t>
  </si>
  <si>
    <t>d3_immediate_actions.py</t>
  </si>
  <si>
    <t>d7_prevention.py</t>
  </si>
  <si>
    <t>api</t>
  </si>
  <si>
    <t>All</t>
  </si>
  <si>
    <t>UI
 → FastAPI
   → EntryHandler (procedural, deterministic)
     → either:
        - do ingestion and STOP
        - OR start LangGraph with a clean IncidentState</t>
  </si>
  <si>
    <t>Entry handling happens BEFORE LangGraph starts.
LangGraph never sees raw UI intent.</t>
  </si>
  <si>
    <t>EntryHandler
├── classify_entry()     # which UC is this?
├── validate_entry()     # is this allowed in current state?
├── execute_entry()      # do ingestion / routing
└── maybe_start_workflow()</t>
  </si>
  <si>
    <t>def handle_entry(entry: EntryEnvelope):
    uc = classify_uc(entry)
    if uc == UC.CREATE_CASE:
        return create_case(entry)
    if uc == UC.UPLOAD_EVIDENCE:
        return ingest_evidence(entry)
    if uc == UC.RUN_AI:
        return start_workflow(entry)</t>
  </si>
  <si>
    <t>backend/</t>
  </si>
  <si>
    <t>├── app.py</t>
  </si>
  <si>
    <t>├── config.py</t>
  </si>
  <si>
    <t>│</t>
  </si>
  <si>
    <t>├── api/</t>
  </si>
  <si>
    <t>├── entry/</t>
  </si>
  <si>
    <t>├── workflow/</t>
  </si>
  <si>
    <t>├── retrieval/</t>
  </si>
  <si>
    <t>│   └── hybrid_retriever.py</t>
  </si>
  <si>
    <t>├── ingestion/</t>
  </si>
  <si>
    <t>│   ├── case_ingestion.py</t>
  </si>
  <si>
    <t>│   ├── evidence_ingestion.py</t>
  </si>
  <si>
    <t>│   └── knowledge_ingestion.py</t>
  </si>
  <si>
    <t>└── infra/</t>
  </si>
  <si>
    <t xml:space="preserve">    ├── blob_storage.py</t>
  </si>
  <si>
    <t xml:space="preserve">    └── embeddings.py</t>
  </si>
  <si>
    <t>8️⃣ HARD RULES to protect you from Codex (IMPORTANT)</t>
  </si>
  <si>
    <t>You should literally paste these into your Codex prompt:</t>
  </si>
  <si>
    <t>Hard rules</t>
  </si>
  <si>
    <t>Do NOT create new directories</t>
  </si>
  <si>
    <t>Do NOT split nodes into multiple files</t>
  </si>
  <si>
    <t>Do NOT invent new agents</t>
  </si>
  <si>
    <t>Do NOT introduce schema-only files</t>
  </si>
  <si>
    <t>Entry handling is procedural, no LangGraph</t>
  </si>
  <si>
    <r>
      <t xml:space="preserve">Workflow orchestration lives ONLY in </t>
    </r>
    <r>
      <rPr>
        <sz val="10"/>
        <color theme="1"/>
        <rFont val="Arial Unicode MS"/>
      </rPr>
      <t>incident_workflow.py</t>
    </r>
  </si>
  <si>
    <t>Each node is exactly one file</t>
  </si>
  <si>
    <t>Each node writes exactly one key in reasoning_state</t>
  </si>
  <si>
    <r>
      <t xml:space="preserve">✅ </t>
    </r>
    <r>
      <rPr>
        <b/>
        <sz val="10"/>
        <color theme="1"/>
        <rFont val="Arial Unicode MS"/>
      </rPr>
      <t>state.py</t>
    </r>
    <r>
      <rPr>
        <b/>
        <sz val="13.5"/>
        <color theme="1"/>
        <rFont val="Calibri"/>
        <family val="2"/>
        <scheme val="minor"/>
      </rPr>
      <t xml:space="preserve"> — what it really is</t>
    </r>
  </si>
  <si>
    <r>
      <t>state.py</t>
    </r>
    <r>
      <rPr>
        <sz val="11"/>
        <color theme="1"/>
        <rFont val="Calibri"/>
        <family val="2"/>
        <scheme val="minor"/>
      </rPr>
      <t xml:space="preserve"> is </t>
    </r>
    <r>
      <rPr>
        <b/>
        <sz val="11"/>
        <color theme="1"/>
        <rFont val="Calibri"/>
        <family val="2"/>
        <scheme val="minor"/>
      </rPr>
      <t>not logic</t>
    </r>
    <r>
      <rPr>
        <sz val="11"/>
        <color theme="1"/>
        <rFont val="Calibri"/>
        <family val="2"/>
        <scheme val="minor"/>
      </rPr>
      <t>.</t>
    </r>
  </si>
  <si>
    <r>
      <t xml:space="preserve">It is </t>
    </r>
    <r>
      <rPr>
        <b/>
        <sz val="11"/>
        <color theme="1"/>
        <rFont val="Calibri"/>
        <family val="2"/>
        <scheme val="minor"/>
      </rPr>
      <t>the shared object that moves through the workflow</t>
    </r>
    <r>
      <rPr>
        <sz val="11"/>
        <color theme="1"/>
        <rFont val="Calibri"/>
        <family val="2"/>
        <scheme val="minor"/>
      </rPr>
      <t>.</t>
    </r>
  </si>
  <si>
    <t>Think of it like this:</t>
  </si>
  <si>
    <r>
      <t xml:space="preserve">LangGraph passes </t>
    </r>
    <r>
      <rPr>
        <b/>
        <sz val="11"/>
        <color theme="1"/>
        <rFont val="Calibri"/>
        <family val="2"/>
        <scheme val="minor"/>
      </rPr>
      <t>one object</t>
    </r>
    <r>
      <rPr>
        <sz val="11"/>
        <color theme="1"/>
        <rFont val="Calibri"/>
        <family val="2"/>
        <scheme val="minor"/>
      </rPr>
      <t xml:space="preserve"> from node to node.</t>
    </r>
  </si>
  <si>
    <r>
      <t xml:space="preserve">That object must be defined </t>
    </r>
    <r>
      <rPr>
        <i/>
        <sz val="11"/>
        <color theme="1"/>
        <rFont val="Calibri"/>
        <family val="2"/>
        <scheme val="minor"/>
      </rPr>
      <t>somewhere</t>
    </r>
    <r>
      <rPr>
        <sz val="11"/>
        <color theme="1"/>
        <rFont val="Calibri"/>
        <family val="2"/>
        <scheme val="minor"/>
      </rPr>
      <t>.</t>
    </r>
  </si>
  <si>
    <r>
      <t xml:space="preserve">That “somewhere” is </t>
    </r>
    <r>
      <rPr>
        <sz val="10"/>
        <color theme="1"/>
        <rFont val="Arial Unicode MS"/>
      </rPr>
      <t>state.py</t>
    </r>
    <r>
      <rPr>
        <sz val="11"/>
        <color theme="1"/>
        <rFont val="Calibri"/>
        <family val="2"/>
        <scheme val="minor"/>
      </rPr>
      <t>.</t>
    </r>
  </si>
  <si>
    <t>What belongs there</t>
  </si>
  <si>
    <r>
      <t xml:space="preserve">Only </t>
    </r>
    <r>
      <rPr>
        <b/>
        <sz val="11"/>
        <color theme="1"/>
        <rFont val="Calibri"/>
        <family val="2"/>
        <scheme val="minor"/>
      </rPr>
      <t>data structures</t>
    </r>
    <r>
      <rPr>
        <sz val="11"/>
        <color theme="1"/>
        <rFont val="Calibri"/>
        <family val="2"/>
        <scheme val="minor"/>
      </rPr>
      <t>, nothing else:</t>
    </r>
  </si>
  <si>
    <t>class IncidentMeta(TypedDict):</t>
  </si>
  <si>
    <t xml:space="preserve">    case_id: str</t>
  </si>
  <si>
    <t xml:space="preserve">    status: Literal["draft", "open", "closed"]</t>
  </si>
  <si>
    <t xml:space="preserve">    source: str</t>
  </si>
  <si>
    <t xml:space="preserve">    created_at: datetime</t>
  </si>
  <si>
    <t xml:space="preserve">    updated_at: datetime</t>
  </si>
  <si>
    <t>class IncidentContext(TypedDict, total=False):</t>
  </si>
  <si>
    <t xml:space="preserve">    problem_statement: Optional[str]</t>
  </si>
  <si>
    <t xml:space="preserve">    location: Optional[str]</t>
  </si>
  <si>
    <t xml:space="preserve">    impact: Optional[str]</t>
  </si>
  <si>
    <t xml:space="preserve">    timeline: Optional[str]</t>
  </si>
  <si>
    <t>class ReasoningState(TypedDict, total=False):</t>
  </si>
  <si>
    <t xml:space="preserve">    ImmediateActions: dict</t>
  </si>
  <si>
    <t xml:space="preserve">    RootCauseAnalysis: dict</t>
  </si>
  <si>
    <t xml:space="preserve">    ...</t>
  </si>
  <si>
    <t>class IncidentState(TypedDict):</t>
  </si>
  <si>
    <t xml:space="preserve">    meta: IncidentMeta</t>
  </si>
  <si>
    <t xml:space="preserve">    incident_context: IncidentContext</t>
  </si>
  <si>
    <t xml:space="preserve">    artifacts: list</t>
  </si>
  <si>
    <t xml:space="preserve">    reasoning_state: ReasoningState</t>
  </si>
  <si>
    <t>What must NOT be there</t>
  </si>
  <si>
    <t>🚫 No logic</t>
  </si>
  <si>
    <t>🚫 No conditions</t>
  </si>
  <si>
    <t>🚫 No imports from nodes</t>
  </si>
  <si>
    <t>🚫 No LangGraph</t>
  </si>
  <si>
    <r>
      <t xml:space="preserve">📌 </t>
    </r>
    <r>
      <rPr>
        <b/>
        <sz val="11"/>
        <color theme="1"/>
        <rFont val="Calibri"/>
        <family val="2"/>
        <scheme val="minor"/>
      </rPr>
      <t xml:space="preserve">If you delete </t>
    </r>
    <r>
      <rPr>
        <b/>
        <sz val="10"/>
        <color theme="1"/>
        <rFont val="Arial Unicode MS"/>
      </rPr>
      <t>state.py</t>
    </r>
    <r>
      <rPr>
        <b/>
        <sz val="11"/>
        <color theme="1"/>
        <rFont val="Calibri"/>
        <family val="2"/>
        <scheme val="minor"/>
      </rPr>
      <t>, the workflow cannot exist.</t>
    </r>
  </si>
  <si>
    <t>So this file earns its place.</t>
  </si>
  <si>
    <t>│   └── routes.py</t>
  </si>
  <si>
    <t>├── state/</t>
  </si>
  <si>
    <t>├── conversation/</t>
  </si>
  <si>
    <t>Class / Function Name</t>
  </si>
  <si>
    <t>Type (Class/Function)</t>
  </si>
  <si>
    <t>Detailed Responsibility</t>
  </si>
  <si>
    <t>Use Case(s)</t>
  </si>
  <si>
    <t>Runtime Phase</t>
  </si>
  <si>
    <t>Triggered By</t>
  </si>
  <si>
    <t>Calls / Depends On</t>
  </si>
  <si>
    <t>Reads IncidentState</t>
  </si>
  <si>
    <t>Writes IncidentState</t>
  </si>
  <si>
    <t>Which Part of State</t>
  </si>
  <si>
    <t>Uses LLM</t>
  </si>
  <si>
    <t>Uses LangGraph</t>
  </si>
  <si>
    <t>Uses Retrieval</t>
  </si>
  <si>
    <t>Which Index / Storage</t>
  </si>
  <si>
    <t>Allowed Side Effects</t>
  </si>
  <si>
    <t>Forbidden Actions</t>
  </si>
  <si>
    <t>Why This File Exists (Architectural Justification)</t>
  </si>
  <si>
    <t>routes.py</t>
  </si>
  <si>
    <t>POST /entry</t>
  </si>
  <si>
    <t>Function</t>
  </si>
  <si>
    <t>Receives all UI actions and converts them into EntryEnvelope objects</t>
  </si>
  <si>
    <t>UC1–UC9</t>
  </si>
  <si>
    <t>Request Entry</t>
  </si>
  <si>
    <t>UI HTTP request</t>
  </si>
  <si>
    <t>EntryHandler</t>
  </si>
  <si>
    <t>-</t>
  </si>
  <si>
    <t>No business logic, no reasoning</t>
  </si>
  <si>
    <t>Separates transport from system behavior</t>
  </si>
  <si>
    <t>entry</t>
  </si>
  <si>
    <t>entry_handler.py</t>
  </si>
  <si>
    <t>handle_entry</t>
  </si>
  <si>
    <t>Classifies UI intent, validates use case, dispatches ingestion or starts workflow</t>
  </si>
  <si>
    <t>UC1–UC7</t>
  </si>
  <si>
    <t>Pre-Workflow</t>
  </si>
  <si>
    <t>case_ingestion, evidence_ingestion, incident_workflow</t>
  </si>
  <si>
    <t>meta, incident_context</t>
  </si>
  <si>
    <t>Blob, Search indexes</t>
  </si>
  <si>
    <t>Create/update records, start workflow</t>
  </si>
  <si>
    <t>No LLM, no loops, no LangGraph</t>
  </si>
  <si>
    <t>Central UC decision point</t>
  </si>
  <si>
    <t>workflow</t>
  </si>
  <si>
    <t>incident_workflow.py</t>
  </si>
  <si>
    <t>build_incident_graph</t>
  </si>
  <si>
    <t>Defines all operational nodes (D1–D8), edges, loops and exit conditions</t>
  </si>
  <si>
    <t>UC6</t>
  </si>
  <si>
    <t>Workflow Orchestration</t>
  </si>
  <si>
    <t>nodes.d1–d8</t>
  </si>
  <si>
    <t>Controls execution order only</t>
  </si>
  <si>
    <t>No storage, no LLM calls</t>
  </si>
  <si>
    <t>Primary daily control artifact</t>
  </si>
  <si>
    <t>strategy_workflow.py</t>
  </si>
  <si>
    <t>build_strategy_graph</t>
  </si>
  <si>
    <t>Defines cross-case reasoning workflow for closed cases</t>
  </si>
  <si>
    <t>UC7</t>
  </si>
  <si>
    <t>nodes.strategy_learning</t>
  </si>
  <si>
    <t>case_index_v3, knowledge_index_v1</t>
  </si>
  <si>
    <t>Read-only analysis</t>
  </si>
  <si>
    <t>Must not touch IncidentState</t>
  </si>
  <si>
    <t>Separates learning from operations</t>
  </si>
  <si>
    <t>state</t>
  </si>
  <si>
    <t>Class</t>
  </si>
  <si>
    <t>Canonical object passed through LangGraph containing meta, context, artifacts and reasoning outputs</t>
  </si>
  <si>
    <t>All Phases</t>
  </si>
  <si>
    <t>Implicit</t>
  </si>
  <si>
    <t>N/A</t>
  </si>
  <si>
    <t>No logic allowed</t>
  </si>
  <si>
    <t>Single source of truth for runtime state</t>
  </si>
  <si>
    <t>nodes</t>
  </si>
  <si>
    <t>run</t>
  </si>
  <si>
    <t>Performs short-term containment reasoning using LLM and evidence</t>
  </si>
  <si>
    <t>Node Execution</t>
  </si>
  <si>
    <t>incident_workflow</t>
  </si>
  <si>
    <t>HybridRetriever</t>
  </si>
  <si>
    <t>reasoning_state.ImmediateActions</t>
  </si>
  <si>
    <t>case_index_v3, evidence_index_v1</t>
  </si>
  <si>
    <t>Writes node output only</t>
  </si>
  <si>
    <t>No routing, no ingestion</t>
  </si>
  <si>
    <t>Implements D3 reasoning contract</t>
  </si>
  <si>
    <t>Defines systemic preventive measures based on root causes and validation</t>
  </si>
  <si>
    <t>Must not close case directly</t>
  </si>
  <si>
    <t>Implements D7 prevention logic</t>
  </si>
  <si>
    <t>conversation</t>
  </si>
  <si>
    <t>conversation_handler.py</t>
  </si>
  <si>
    <t>handle_conversation_input</t>
  </si>
  <si>
    <t>Processes push-to-talk input and updates draft incident context</t>
  </si>
  <si>
    <t>UC8</t>
  </si>
  <si>
    <t>UI voice input</t>
  </si>
  <si>
    <t>state.IncidentContext</t>
  </si>
  <si>
    <t>Optional</t>
  </si>
  <si>
    <t>Context updates only</t>
  </si>
  <si>
    <t>Never writes reasoning_state</t>
  </si>
  <si>
    <t>Separates drafting from reasoning</t>
  </si>
  <si>
    <t>retrieval</t>
  </si>
  <si>
    <t>hybrid_retriever.py</t>
  </si>
  <si>
    <t>Coordinates hybrid retrieval across case, evidence and knowledge indexes with ranking</t>
  </si>
  <si>
    <t>Indirect</t>
  </si>
  <si>
    <t>Node functions</t>
  </si>
  <si>
    <t>infra.azure_search</t>
  </si>
  <si>
    <t>case_index_v3, evidence_index_v1, knowledge_index_v1</t>
  </si>
  <si>
    <t>Read-only access</t>
  </si>
  <si>
    <t>Must not mutate state</t>
  </si>
  <si>
    <t>Centralized retrieval logic</t>
  </si>
  <si>
    <t>ingestion</t>
  </si>
  <si>
    <t>case_ingestion.py</t>
  </si>
  <si>
    <t>ingest_closed_case</t>
  </si>
  <si>
    <t>Persists closed incident data and indexes it for future reasoning</t>
  </si>
  <si>
    <t>UC9</t>
  </si>
  <si>
    <t>Post-Workflow</t>
  </si>
  <si>
    <t>infra.blob_storage, infra.azure_search</t>
  </si>
  <si>
    <t>case_index_v3</t>
  </si>
  <si>
    <t>Write once, append-only</t>
  </si>
  <si>
    <t>No LLM usage</t>
  </si>
  <si>
    <t>Keeps operational and historical data aligned</t>
  </si>
  <si>
    <t>evidence_ingestion.py</t>
  </si>
  <si>
    <t>store_evidence</t>
  </si>
  <si>
    <t>Stores evidence files and indexes references for retrieval</t>
  </si>
  <si>
    <t>UC3</t>
  </si>
  <si>
    <t>Blob + index write</t>
  </si>
  <si>
    <t>No reasoning allowed</t>
  </si>
  <si>
    <t>Ensures evidence traceability</t>
  </si>
  <si>
    <t>│   └── entry_handler.py</t>
  </si>
  <si>
    <t>│   ├── incident_workflow.py</t>
  </si>
  <si>
    <t>│   └── strategy_workflow.py</t>
  </si>
  <si>
    <t>│   └── incident_state.py</t>
  </si>
  <si>
    <t>│   └── conversation_handler.py</t>
  </si>
  <si>
    <t>Notes</t>
  </si>
  <si>
    <t>infra</t>
  </si>
  <si>
    <t>API &amp; ENTRY LAYER (transport &amp; UC routing only)</t>
  </si>
  <si>
    <t>Methods</t>
  </si>
  <si>
    <t xml:space="preserve">Responsibility </t>
  </si>
  <si>
    <t>ApiRoutes</t>
  </si>
  <si>
    <t>HTTP boundary that converts UI requests into internal envelopes</t>
  </si>
  <si>
    <t>post_entry(request_payload)</t>
  </si>
  <si>
    <t>Classifies use case, validates intent, dispatches ingestion or workflow</t>
  </si>
  <si>
    <t>handle_entry(entry_envelope)</t>
  </si>
  <si>
    <t>Conversation
Drafting, continuity, push-to-talk)</t>
  </si>
  <si>
    <t>ConversationHandler</t>
  </si>
  <si>
    <t>Maintains conversational continuity and drafts incident context before reasoning</t>
  </si>
  <si>
    <t>WORKFLOWS (LangGraph graph definition ONLY)
These classes define graphs.
LangGraph executes them.
They never reason, retrieve, or write storage.</t>
  </si>
  <si>
    <t>IncidentWorkflow</t>
  </si>
  <si>
    <t>Defines the operational D1–D8 LangGraph workflow</t>
  </si>
  <si>
    <t>StrategyWorkflow</t>
  </si>
  <si>
    <t>Defines cross-case learning / strategy LangGraph workflow</t>
  </si>
  <si>
    <t>STATE (canonical runtime data)</t>
  </si>
  <si>
    <t>Canonical mutable state passed through LangGraph</t>
  </si>
  <si>
    <t>StrategyState</t>
  </si>
  <si>
    <t>Canonical state for cross-case learning</t>
  </si>
  <si>
    <t>from_cases()
to_dict()</t>
  </si>
  <si>
    <t>build_graph()
invoke(initial_incident_state)</t>
  </si>
  <si>
    <t>build_graph()
invoke(strategy_state)</t>
  </si>
  <si>
    <t>route_input(input_payload, conversation_state)
update_incident_context(draft_input)</t>
  </si>
  <si>
    <t>from_payload()
to_dict()</t>
  </si>
  <si>
    <t>OPERATIONAL NODES (D1–D8, reasoning agents)</t>
  </si>
  <si>
    <t>D1ProblemDefinitionNode</t>
  </si>
  <si>
    <t>Interprets incident description and defines problem statement</t>
  </si>
  <si>
    <t>execute_problem_definition(state)</t>
  </si>
  <si>
    <t>D2TeamScopeNode</t>
  </si>
  <si>
    <t>Defines involved teams, scope, ownership</t>
  </si>
  <si>
    <t>execute_team_scoping(state)</t>
  </si>
  <si>
    <t>D3ImmediateActionsNode</t>
  </si>
  <si>
    <t>Reasons about short-term containment actions</t>
  </si>
  <si>
    <t>execute_immediate_actions(state)</t>
  </si>
  <si>
    <t>D4RootCauseNode</t>
  </si>
  <si>
    <t>Performs structured root cause analysis</t>
  </si>
  <si>
    <t>execute_root_cause_analysis(state)</t>
  </si>
  <si>
    <t>D5CorrectiveActionsNode</t>
  </si>
  <si>
    <t>Defines corrective actions addressing root causes</t>
  </si>
  <si>
    <t>execute_corrective_actions(state)</t>
  </si>
  <si>
    <t>D6ValidationNode</t>
  </si>
  <si>
    <t>Validates effectiveness of corrective actions</t>
  </si>
  <si>
    <t>execute_validation(state)</t>
  </si>
  <si>
    <t>D7PreventionNode</t>
  </si>
  <si>
    <t>Defines systemic preventive measures</t>
  </si>
  <si>
    <t>execute_prevention_measures(state)</t>
  </si>
  <si>
    <t>D8ClosureNode</t>
  </si>
  <si>
    <t>Finalizes case and extracts learning</t>
  </si>
  <si>
    <t>execute_case_closure(state)</t>
  </si>
  <si>
    <t>STRATEGY / LEARNING AGENTS (cross-case)</t>
  </si>
  <si>
    <t>StrategyLearningNode</t>
  </si>
  <si>
    <t>Extracts patterns from closed cases</t>
  </si>
  <si>
    <t>execute_strategy_learning(strategy_state)</t>
  </si>
  <si>
    <t>RETRIEVAL (tooling, not agents)</t>
  </si>
  <si>
    <t>Performs ranked hybrid retrieval across indexes</t>
  </si>
  <si>
    <t>retrieve_similar_cases(query, filters)
retrieve_evidence(case_id)
retrieve_knowledge(topic)</t>
  </si>
  <si>
    <t>INGESTION (side-effect services)</t>
  </si>
  <si>
    <t>CaseIngestion</t>
  </si>
  <si>
    <t>Persists closed cases and indexes them</t>
  </si>
  <si>
    <t>import_closed_case(case_payload)</t>
  </si>
  <si>
    <t>EvidenceIngestion</t>
  </si>
  <si>
    <t>Stores and indexes evidence artifacts</t>
  </si>
  <si>
    <t>store_evidence(evidence_payload)</t>
  </si>
  <si>
    <t>KnowledgeIngestion</t>
  </si>
  <si>
    <t>Stores and indexes knowledge documents</t>
  </si>
  <si>
    <t>ingest_knowledge_document(document_payload)</t>
  </si>
  <si>
    <t>INFRASTRUCTURE (pure adapters)</t>
  </si>
  <si>
    <t>Executes search and vector queries</t>
  </si>
  <si>
    <t>query_index()</t>
  </si>
  <si>
    <t>upsert_documents()</t>
  </si>
  <si>
    <t>BlobStorageClient</t>
  </si>
  <si>
    <t>Handles blob persistence</t>
  </si>
  <si>
    <t>upload_blob()</t>
  </si>
  <si>
    <t>download_blob()</t>
  </si>
  <si>
    <t>EmbeddingClient</t>
  </si>
  <si>
    <t>Produces embeddings</t>
  </si>
  <si>
    <t>embed_text()</t>
  </si>
  <si>
    <t>Directories</t>
  </si>
  <si>
    <t xml:space="preserve">    ├── azure_search.py removed on 01.02.2026</t>
  </si>
  <si>
    <t>01.02 will be implemented later on with hybrid receiver</t>
  </si>
  <si>
    <t>use case</t>
  </si>
  <si>
    <t>decription</t>
  </si>
  <si>
    <t>UC1 create case</t>
  </si>
  <si>
    <t>user creates a new case in UI</t>
  </si>
  <si>
    <t>Calls</t>
  </si>
  <si>
    <t>Classes</t>
  </si>
  <si>
    <t>Functions</t>
  </si>
  <si>
    <t>CaseSearchIndex</t>
  </si>
  <si>
    <t>case_search.py</t>
  </si>
  <si>
    <t>get_index()</t>
  </si>
  <si>
    <t>If index does not exist create a new case in blob_db for case_index_v1
If case id exists send message back to ui that case id is used and the user must select an alternative case number</t>
  </si>
  <si>
    <t>Case_id taken ask user to generate new case id</t>
  </si>
  <si>
    <t>ingest_case()</t>
  </si>
  <si>
    <t>need to create the case in blob db using the UI json or envelop</t>
  </si>
  <si>
    <t>CaseSearchClient</t>
  </si>
  <si>
    <t>EvidenceSearchClient</t>
  </si>
  <si>
    <t>KnowledgeSearchClient</t>
  </si>
  <si>
    <t>Name</t>
  </si>
  <si>
    <t>Location</t>
  </si>
  <si>
    <t>CLASS FIELDS</t>
  </si>
  <si>
    <t>LOCATION</t>
  </si>
  <si>
    <t>backend</t>
  </si>
  <si>
    <t xml:space="preserve">Class </t>
  </si>
  <si>
    <t xml:space="preserve">Category </t>
  </si>
  <si>
    <t>note</t>
  </si>
  <si>
    <t>Pattern Recall</t>
  </si>
  <si>
    <t>IncidentContent</t>
  </si>
  <si>
    <t>List[Evidence]</t>
  </si>
  <si>
    <t>Knowledge</t>
  </si>
  <si>
    <t>Best Practices</t>
  </si>
  <si>
    <t>notes</t>
  </si>
  <si>
    <t>Responsibility</t>
  </si>
  <si>
    <t>HTTP boundary that converts UI requests to internal envelopes</t>
  </si>
  <si>
    <t>request_payload</t>
  </si>
  <si>
    <t>entry_envelop</t>
  </si>
  <si>
    <t>Classifies UC, validates intent, dispatch integestion or workflow</t>
  </si>
  <si>
    <t>route_input</t>
  </si>
  <si>
    <t>input_payload, conversations_state</t>
  </si>
  <si>
    <t>Maintain conversation continuity and drafts incident context before reasoning</t>
  </si>
  <si>
    <t>update_incident_context</t>
  </si>
  <si>
    <t>draft_input</t>
  </si>
  <si>
    <t>build_graph</t>
  </si>
  <si>
    <t>invoke</t>
  </si>
  <si>
    <t>initial_incident_state</t>
  </si>
  <si>
    <t>.--</t>
  </si>
  <si>
    <t>strategy_state</t>
  </si>
  <si>
    <t>from_payload</t>
  </si>
  <si>
    <t>to_dict</t>
  </si>
  <si>
    <t>from_cases</t>
  </si>
  <si>
    <t>stategy_state</t>
  </si>
  <si>
    <t>execute_strategy_learning</t>
  </si>
  <si>
    <t>execute_case_closure</t>
  </si>
  <si>
    <t>execute_prevention_measure</t>
  </si>
  <si>
    <t>execute_validation</t>
  </si>
  <si>
    <t>execute_corrective_actions</t>
  </si>
  <si>
    <t>execute_root_cause_analysis</t>
  </si>
  <si>
    <t>execute_immediate_actions</t>
  </si>
  <si>
    <t>execute_team_scoping</t>
  </si>
  <si>
    <t>execute_problem_definition</t>
  </si>
  <si>
    <t>retrieve_similar_cases</t>
  </si>
  <si>
    <t>query,filters</t>
  </si>
  <si>
    <t>retrieve_knowledge</t>
  </si>
  <si>
    <t>topic</t>
  </si>
  <si>
    <t>import_closed_case</t>
  </si>
  <si>
    <t>case_payload</t>
  </si>
  <si>
    <t>evidence_payload</t>
  </si>
  <si>
    <t>KnowledgeIngetion</t>
  </si>
  <si>
    <t>ingest_knowledge_document</t>
  </si>
  <si>
    <t>document_payload</t>
  </si>
  <si>
    <t>Persists closed cans and indexes them</t>
  </si>
  <si>
    <t>query_index</t>
  </si>
  <si>
    <t>KnowledgeSearechClient</t>
  </si>
  <si>
    <t>upload_blob</t>
  </si>
  <si>
    <t>handles blob persistence</t>
  </si>
  <si>
    <t>download_blob</t>
  </si>
  <si>
    <t>embed_text</t>
  </si>
  <si>
    <t>Produces Embeddings</t>
  </si>
  <si>
    <t>app.py</t>
  </si>
  <si>
    <t>config.py</t>
  </si>
  <si>
    <t>strategy_workflow</t>
  </si>
  <si>
    <t>incident_state</t>
  </si>
  <si>
    <t>1_problem_definition.py</t>
  </si>
  <si>
    <t>2_team_scope.py</t>
  </si>
  <si>
    <t>3_immediate_actions.py</t>
  </si>
  <si>
    <t>4_root_cause.py</t>
  </si>
  <si>
    <t>d5_corrective_actions.py</t>
  </si>
  <si>
    <t>d6_validation.py</t>
  </si>
  <si>
    <t>7_prevention.py</t>
  </si>
  <si>
    <t>d8_closure.py</t>
  </si>
  <si>
    <t>strategy_learning.py</t>
  </si>
  <si>
    <t>knowledge_ingestion.py</t>
  </si>
  <si>
    <t>blob_storage.py</t>
  </si>
  <si>
    <t>embeddings.py</t>
  </si>
  <si>
    <t>evidence_search.py</t>
  </si>
  <si>
    <t>knowledge_search.py</t>
  </si>
  <si>
    <t>Defines all operationa nodes, edges loops and exits</t>
  </si>
  <si>
    <t>AI Reasoning</t>
  </si>
  <si>
    <t>Prompts details</t>
  </si>
  <si>
    <t>LangChain</t>
  </si>
  <si>
    <t>Langgraph</t>
  </si>
  <si>
    <t>Prompt</t>
  </si>
  <si>
    <t>How did we handle similar cases in the past and can you provide suggestions in the current state we are ( D1-D)</t>
  </si>
  <si>
    <t xml:space="preserve"> (Note : info is passed to LLM  based on UI json)</t>
  </si>
  <si>
    <t>LLM instruction</t>
  </si>
  <si>
    <t>Check current state in Incident process and provide recomendations based on past cases …</t>
  </si>
  <si>
    <t xml:space="preserve">Check evidence and reason on ist relevance to the case </t>
  </si>
  <si>
    <t>Check for any relevant knowledge</t>
  </si>
  <si>
    <t xml:space="preserve">Use </t>
  </si>
  <si>
    <r>
      <t>•</t>
    </r>
    <r>
      <rPr>
        <sz val="12"/>
        <color rgb="FF000000"/>
        <rFont val="Aptos"/>
        <family val="2"/>
      </rPr>
      <t>case_index_v3 for closed cases</t>
    </r>
  </si>
  <si>
    <r>
      <t>•</t>
    </r>
    <r>
      <rPr>
        <sz val="12"/>
        <color rgb="FF000000"/>
        <rFont val="Aptos"/>
        <family val="2"/>
      </rPr>
      <t>Evidence_index_v1</t>
    </r>
  </si>
  <si>
    <r>
      <t>•</t>
    </r>
    <r>
      <rPr>
        <sz val="12"/>
        <color rgb="FF000000"/>
        <rFont val="Aptos"/>
        <family val="2"/>
      </rPr>
      <t>Knowledge_index_v1</t>
    </r>
  </si>
  <si>
    <t>LLM reply</t>
  </si>
  <si>
    <t xml:space="preserve">Structure answer based on </t>
  </si>
  <si>
    <r>
      <t>1.</t>
    </r>
    <r>
      <rPr>
        <sz val="12"/>
        <color rgb="FF000000"/>
        <rFont val="Aptos"/>
        <family val="2"/>
      </rPr>
      <t>current state recomendations</t>
    </r>
  </si>
  <si>
    <r>
      <t>2.</t>
    </r>
    <r>
      <rPr>
        <sz val="12"/>
        <color rgb="FF000000"/>
        <rFont val="Aptos"/>
        <family val="2"/>
      </rPr>
      <t>Give guidance of what could be the potential next steps</t>
    </r>
  </si>
  <si>
    <r>
      <t>3.</t>
    </r>
    <r>
      <rPr>
        <sz val="12"/>
        <color rgb="FF000000"/>
        <rFont val="Aptos"/>
        <family val="2"/>
      </rPr>
      <t>ReAct by evaluating results from all indexes</t>
    </r>
  </si>
  <si>
    <t>Answer using Pydantic Classes</t>
  </si>
  <si>
    <t>Did we have similar problems in other plans globally  and how did we resolved them?</t>
  </si>
  <si>
    <t>LLM Instruction</t>
  </si>
  <si>
    <t>Check for relevant closed cases – in case_index_v3 and provide a summary of how many similar cases existed , what was the key factors ( 5Why‘s) and what where the preventive and corrective actions taken</t>
  </si>
  <si>
    <r>
      <t>1.</t>
    </r>
    <r>
      <rPr>
        <sz val="12"/>
        <color rgb="FF000000"/>
        <rFont val="Aptos"/>
        <family val="2"/>
      </rPr>
      <t>Reply by seperating the answer in the key areas such as 5why preventive and corrective actions</t>
    </r>
  </si>
  <si>
    <r>
      <t>2.</t>
    </r>
    <r>
      <rPr>
        <sz val="12"/>
        <color rgb="FF000000"/>
        <rFont val="Aptos"/>
        <family val="2"/>
      </rPr>
      <t>ReAct by evaluating results from all indexes</t>
    </r>
  </si>
  <si>
    <t>Promt</t>
  </si>
  <si>
    <t xml:space="preserve">What is our current performance and &amp; capability to solve incidents fast </t>
  </si>
  <si>
    <t>Check the duration to solve similar cases ( D1 date to D8 date) and provide the min average and max duration … Other KPI's to be calculated
in the plant . Country. Global</t>
  </si>
  <si>
    <t xml:space="preserve">Do we need a specific function to calculate KPI's </t>
  </si>
  <si>
    <t xml:space="preserve">Structure answer based on 
Plant / country / global performance and capability to solve incidents … </t>
  </si>
  <si>
    <t>What can we do to prevent similar problems happening in our plant . Country</t>
  </si>
  <si>
    <t>Assess similar issues globaly by checking case_index_v3 and knowledge_index_v1 and 
reason from an organizational , operational , process &amp; technology perspective … If you have no data available
provide recomendations from your trained data but mark them as external to company</t>
  </si>
  <si>
    <t>Agent Nodes</t>
  </si>
  <si>
    <t>Similar cases &amp; guidance</t>
  </si>
  <si>
    <t>Global patterns &amp; root causes</t>
  </si>
  <si>
    <t>Performance &amp; KPIs</t>
  </si>
  <si>
    <t>Prevention &amp; strategy</t>
  </si>
  <si>
    <t>Context Builder Node</t>
  </si>
  <si>
    <t>Langgraph model</t>
  </si>
  <si>
    <t xml:space="preserve">Canonical Architecture </t>
  </si>
  <si>
    <t>UI
 └─ sends → CaseContext (JSON)
API
 └─ orchestrates → Workflow
Workflow (LangGraph)
 ├─ ContextBuilderNode
 ├─ IntentRouterNode
 ├─ ReasoningCapabilityNodes (4)
 └─ ResponseFormatterNode
Infrastructure
 ├─ case_index_v3
 ├─ evidence_index_v1
 └─ knowledge_index_v1</t>
  </si>
  <si>
    <t>Canonical Data Models</t>
  </si>
  <si>
    <t xml:space="preserve">backbone </t>
  </si>
  <si>
    <t>CANONICAL</t>
  </si>
  <si>
    <t>CaseContext (input from UI)</t>
  </si>
  <si>
    <t>class CaseContext(BaseModel):
    case_id: str
    current_state: Literal["D1","D2","D3","D4","D5","D6","D7","D8"]
    d_states: Dict[str, Any]   # full D1–D8 payload
    metadata: CaseMeta</t>
  </si>
  <si>
    <t>Intent ( what the user is asking)</t>
  </si>
  <si>
    <t>class ReasoningIntent(Enum)</t>
  </si>
  <si>
    <t>class ReasoningIntent(Enum):
    SIMILARITY_GUIDANCE = "similarity_guidance"
    GLOBAL_PATTERNS = "global_patterns"
    PERFORMANCE_KPI = "performance_kpi"
    PREVENTION_STRATEGY = "prevention_strategy"</t>
  </si>
  <si>
    <t>Domain</t>
  </si>
  <si>
    <t>LANGRAPH</t>
  </si>
  <si>
    <t>Nodes</t>
  </si>
  <si>
    <t>Uses</t>
  </si>
  <si>
    <t>Triggered from</t>
  </si>
  <si>
    <t>Have we seen this before and what what we do now ?</t>
  </si>
  <si>
    <t>case_index_v3
evidence_index_v1
knowledge_index_v1</t>
  </si>
  <si>
    <t>Any D-state
Most common team action</t>
  </si>
  <si>
    <t>class SimilarityGuidanceResponse(BaseModel):
    similar_cases: List[CaseReference]
    relevance_summary: str
    current_state_recommendations: List[str]
    next_steps: List[str]</t>
  </si>
  <si>
    <t>Is this systematic and why ?</t>
  </si>
  <si>
    <t>case_index_v3
optional knowledge_index_v1</t>
  </si>
  <si>
    <t>class GlobalPatternResponse(BaseModel):
    similar_case_count: int
    common_root_causes: List[str]
    corrective_actions: List[str]
    preventive_actions: List[str]</t>
  </si>
  <si>
    <t>Tool : KPI Calculator ( pure code , no LLM)</t>
  </si>
  <si>
    <t>class KPIMetrics(BaseModel):
    min_duration_days: float
    avg_duration_days: float
    max_duration_days: float
    case_count: int</t>
  </si>
  <si>
    <t>KPI Interpreter (LLM)</t>
  </si>
  <si>
    <t>class KPIInsightResponse(BaseModel):
    plant_insight: str
    country_insight: str
    global_insight: str
    capability_assessment: str</t>
  </si>
  <si>
    <t>How do we stp this from happening again ?</t>
  </si>
  <si>
    <t>case_index_v3
knowledge_index_v1
fallback to trained data (flagged!)</t>
  </si>
  <si>
    <t>class PreventionStrategyResponse(BaseModel):
    organizational: List[str]
    operational: List[str]
    process: List[str]
    technology: List[str]
    external_recommendations: Optional[List[str]]</t>
  </si>
  <si>
    <t>You are an incident reasoning assistant.
Given the current case context (D1–D8), retrieved similar cases,
evidence and internal knowledge:
1. Identify relevant similarities
2. Provide recommendations appropriate to the current D-state
3. Suggest concrete next steps
4. Clearly distinguish evidence-based vs inferred guidance</t>
  </si>
  <si>
    <t>“A silent problem-solving coach”</t>
  </si>
  <si>
    <t>Use Case</t>
  </si>
  <si>
    <t>File Mgmt</t>
  </si>
  <si>
    <t>Case Mgmt</t>
  </si>
  <si>
    <t>Reasoning</t>
  </si>
  <si>
    <t>Performance &amp; KPI</t>
  </si>
  <si>
    <t>Conversation</t>
  </si>
  <si>
    <t>Search Case</t>
  </si>
  <si>
    <t>Triggers</t>
  </si>
  <si>
    <t>indexes</t>
  </si>
  <si>
    <t>Conditions</t>
  </si>
  <si>
    <t>UC4 Upload evidence of existent case</t>
  </si>
  <si>
    <t>UC3 Case Close</t>
  </si>
  <si>
    <t>UC2 Case Update</t>
  </si>
  <si>
    <t>UC1 Case Creation</t>
  </si>
  <si>
    <t>UC5 Load Existing case</t>
  </si>
  <si>
    <t>UC6 Import knowledge</t>
  </si>
  <si>
    <t>UC8 Similar cases guidance</t>
  </si>
  <si>
    <t>UC9 Global Patterns</t>
  </si>
  <si>
    <t>UC10 Performance &amp; KPI</t>
  </si>
  <si>
    <t>UC11 Prevention &amp; Strategy</t>
  </si>
  <si>
    <t>UC12 Push to talk</t>
  </si>
  <si>
    <t>Action</t>
  </si>
  <si>
    <t>User enters a new case id and press create incident</t>
  </si>
  <si>
    <t>user updates fields in the different tabs such as problem definition , containment action up to close and learning</t>
  </si>
  <si>
    <t>Blob check if case id already exists and warns user to select a different case-id
If case id existent warn user to select a different case id for creation
If case id does not exist a new case id is created in blob db for case_index_v3 wi the new case ID</t>
  </si>
  <si>
    <t>blob update of Json for this case</t>
  </si>
  <si>
    <t>case ingestion</t>
  </si>
  <si>
    <t>UI Json for this container is updated</t>
  </si>
  <si>
    <t>User press the confirm D1-D2 at the bottom of the container to confirm they are ready with this section</t>
  </si>
  <si>
    <t>User press the confirm at the bottom of the containers D1-D8  when they have completed that section  and proceed to the next</t>
  </si>
  <si>
    <t>user update the closure date field and confirm by pressing the confirm D8 button signaling that the case is closed</t>
  </si>
  <si>
    <t>Field closure date in problem definition is read only and is updated only when the closure date in D8 is updated</t>
  </si>
  <si>
    <t xml:space="preserve">Update closure date in Problem Definition </t>
  </si>
  <si>
    <t>Whe the user updates the closure date this is a confirmation the case is closed and the UI JSON is updated accordinly.
When the case is closed the case data is then converted to embedding and stored in the vector db</t>
  </si>
  <si>
    <t>Stored in Vector DB for case_index_v3</t>
  </si>
  <si>
    <t>create embedding and store closed case in Vector DB</t>
  </si>
  <si>
    <t xml:space="preserve">
When the case is closed the case data is then converted to embedding and stored in the vector db</t>
  </si>
  <si>
    <t>Upload button is active only when the user has created/selected  a valid case Id</t>
  </si>
  <si>
    <t>evidence ingestion</t>
  </si>
  <si>
    <t>update blob and vector DB</t>
  </si>
  <si>
    <t>Case is existent and it is in either open in progress or closed state</t>
  </si>
  <si>
    <t>hubrid retriever</t>
  </si>
  <si>
    <t>case_index_v3
evidence_index_v1</t>
  </si>
  <si>
    <t>User can search for existing cases by typing in the case search field keywords such as case id , involved people , country, site and display them as open , in progress , closed with opening and closure dates with a link that when selected populates the D1-D8 UI section and pupulates the &lt;div id="evidence-list" class="muted empty-state"&gt;No evidence uploaded yet.&lt;/div&gt;</t>
  </si>
  <si>
    <t>User can upload knowledge documents such as policies , procedures , technical documentation not relevant to the case but general documents that can be used later on for strategy reasoning. All uploaded documents are show in the &lt;div id="knowledge_upload_list" class="doc-list"&gt;. A link to each file allowes the user the open the file</t>
  </si>
  <si>
    <t>User can upload evidence files for active case in UI. Each file has a link that when clicked can open the file</t>
  </si>
  <si>
    <t>UC7 bulk import closed cases</t>
  </si>
  <si>
    <t>knowledge ingestion</t>
  </si>
  <si>
    <t>User can import closed cases that are in an excel file or other file aiming to populate the case_index_v3 and store the data in the blob db. The bulk list display field allows the user having a link to open any file.</t>
  </si>
  <si>
    <t>Call these files use a different case id so create a new case id based on the upload date and append the case id with the imported case id</t>
  </si>
  <si>
    <t>Agent reasons if there was similar case by searching case_index_v3 and provides an answer depending on the current state of the team in the D1 D8 section with recomendations based on the closed cases</t>
  </si>
  <si>
    <t>Search closed cases in case_index_v3</t>
  </si>
  <si>
    <t>react in the answer and by using a pydantic class ensure the answer format is always the sam</t>
  </si>
  <si>
    <t xml:space="preserve">Agent reasons if there was similar case by searching case_index_v3 and provides an answer depending on the current state of the team in the D1 D8 section with recomendations based on the closed cases.
</t>
  </si>
  <si>
    <t>Agent provides the answer when the UI button under AI reasoning " similar cases &amp; Guidance" ... 
Answer is displayed in &lt;div id="ai_response_output" class="ai-response-area"&gt;AI insights and recommendations will appear here.</t>
  </si>
  <si>
    <t>Agent provides the answer when the UI button under AI reasoning " Global Patterns &amp; Rouse Causes" ... 
Answer is displayed in &lt;div id="ai_response_output" class="ai-response-area"&gt;AI insights and recommendations will appear here.</t>
  </si>
  <si>
    <t>Agent collects data from case_index_v3 and calculates KPI's</t>
  </si>
  <si>
    <t>Calculate and display the min average and max duration of cases across all countries and per country</t>
  </si>
  <si>
    <t>Agent provides the answer when the UI button under AI reasoning " Performance &amp; KPIs" ... 
Answer is displayed in &lt;div id="ai_response_output" class="ai-response-area"&gt;AI insights and recommendations will appear here.</t>
  </si>
  <si>
    <t xml:space="preserve">Agent reasons on how to stop similar problems or in general problems </t>
  </si>
  <si>
    <t>Search all indexes and provides a recomedantion from an organizational , operationa, process and technology perspective . It will show with a different words color and note in the answer for suggestions that came from the LLM's own trained data to enrich the result but worn the user this information is not based on the customer data</t>
  </si>
  <si>
    <t>Use press the push to talk button and describe their problem and the agent is searching for the request similar cases and provides a recomendation if sufficient data available in case_index_v3</t>
  </si>
  <si>
    <t xml:space="preserve">Agent is searching existing cases and provdes a suggestion based on the user request
Case discussion will not be stored in the cases_index_v3 </t>
  </si>
  <si>
    <t>Used only from mobile users who want to have a quick scan of similar cases in the database</t>
  </si>
  <si>
    <t>Agent provides the answer when the UI button under AI reasoning "Prevention &amp; Strategy" ... 
Answer is displayed in &lt;div id="ai_response_output" class="ai-response-area"&gt;AI insights and recommendations will appear here.</t>
  </si>
  <si>
    <t>Agent provides the answer when the UI button under AI reasoning " Push to talk" ... 
Answer is displayed in &lt;div id="ai_response_output" class="ai-response-area"&gt;AI insights and recommendations will appear here.</t>
  </si>
  <si>
    <t>ID</t>
  </si>
  <si>
    <t>Audit Checks</t>
  </si>
  <si>
    <t>TYPe</t>
  </si>
  <si>
    <t>when the user update the closed case date the ui json for this case is saved as embedding to the vector db on case_index_v3</t>
  </si>
  <si>
    <t>user update closed case date</t>
  </si>
  <si>
    <t>FastAPI</t>
  </si>
  <si>
    <t>UC13 case ingestion</t>
  </si>
  <si>
    <t>UC 14 AI reasoning</t>
  </si>
  <si>
    <t>when the user ask a question using the Ai field ask a question then the fastapi will push the json to the entry agent for reasoning &lt;textarea id="ai_question_input" class="ai-question-input"</t>
  </si>
  <si>
    <t>user types enter a question</t>
  </si>
  <si>
    <t>{
  "event": "CASE_CLOSED",
  "envelope": { ...full case json... }
}</t>
  </si>
  <si>
    <t>{
  "event": "AI_REASONING",
  "question": "free text",
  "envelope": { ...full case json... }
}</t>
  </si>
  <si>
    <t>if event == "AI_REASONING":
    assert case_status in ["open", "closed"]
    disable_all_writes()</t>
  </si>
  <si>
    <t>fastapi</t>
  </si>
  <si>
    <t>User questions</t>
  </si>
  <si>
    <t xml:space="preserve">analyse current case and give me recomendations if we forgot something in any stage ie actions that we missed or cross check in corrective actions against route cause analysis against validation and prevention… </t>
  </si>
  <si>
    <t xml:space="preserve">Check the validation files if they correlate to any factor in the route cause or other part </t>
  </si>
  <si>
    <t>ask for similar cases in the database and how they have addressed either the stage where the user team currently is ie between D1 to 8 and provide an overall recomendation against other cases</t>
  </si>
  <si>
    <t>LLM recomendations</t>
  </si>
  <si>
    <t>depending the question the LLM must focus to provide stage specific or general recomendation using the same structure as the D1-D8 .. I guess we will need to use pydantic class to ensure strcuture</t>
  </si>
  <si>
    <t>ask about how to prevent similar cases and or overall recomendations either at plant or country level</t>
  </si>
  <si>
    <t>this is where the agent must check the knowledge , case and maybe evidence ( optional ) indexes calculating probabilities where information is relevant and using a pydantic class replies</t>
  </si>
  <si>
    <t>ask about KPI&amp; performance at plant country or global level</t>
  </si>
  <si>
    <t>we will define a kpi class that is defined as tool in the workflow for the agent to activate if necessary</t>
  </si>
  <si>
    <t>Have we seen something like this before?”</t>
  </si>
  <si>
    <t>“Is this a systematic issue?”</t>
  </si>
  <si>
    <t>“How long do cases like this usually take?”</t>
  </si>
  <si>
    <t>“How do we prevent this in the future?”</t>
  </si>
  <si>
    <t>2. Entry → Context Builder Node
This node:
takes the full CaseContext
enriches it (current D-state, metadata, evidence counts, etc.)
does not reason
Output: enriched context.</t>
  </si>
  <si>
    <t>ENTRY
 ↓
ContextBuilderNode
 ↓
IntentRouterNode
 ├─ if SIMILARITY_GUIDANCE → SimilarityGuidanceNode
 ├─ if GLOBAL_PATTERNS → GlobalPatternNode
 ├─ if PERFORMANCE_KPI → KPIIntelligenceNode
 └─ if PREVENTION_STRATEGY → PreventionStrategyNode
 ↓
ResponseFormatterNode</t>
  </si>
  <si>
    <t>class SimilarityGuidanceResponse(BaseModel):</t>
  </si>
  <si>
    <t>Global Pattern &amp; Route Causes Node</t>
  </si>
  <si>
    <t>class GlobalPatternResponse(BaseModel):</t>
  </si>
  <si>
    <t>class KPIMetrics(BaseModel):</t>
  </si>
  <si>
    <t>KPIInsightResponse(BaseModel):</t>
  </si>
  <si>
    <t>Similarity &amp; Guidance Node</t>
  </si>
  <si>
    <t>Purpose:
“Have we seen this before, and what usually works now?”
Uses:
case_index_v3,evidence_index_v1,
knowledge_index_v1
Important constraint:
Recommendations are D-state aware
No long-term strategy here</t>
  </si>
  <si>
    <t>Purpose:
“Is this systematic?”
Uses:
case_index_v3
optional knowledge_index_v1
Important constraint:
Aggregation &amp; patterns
No KPI math
No tactical next steps</t>
  </si>
  <si>
    <t>This one is correctly split already — keep it that way.
KPI Calculator (pure code)
Reads indexes
Produces metrics</t>
  </si>
  <si>
    <t>KPI Interpreter (LLM)
Interprets the metrics
Adds meaning
Important constraint:
LLM never calculates numbers
Code never interprets meaning</t>
  </si>
  <si>
    <t>Prevention &amp; Strategy Node</t>
  </si>
  <si>
    <t>Purpose:
“How do we stop this from happening again?”
Uses:
case_index_v3
knowledge_index_v1
fallback to trained data (flagged)
Important constraint:
Future-oriented
Clearly labeled as options, not decisions</t>
  </si>
  <si>
    <t>PreventionStrategyResponse(BaseModel)</t>
  </si>
  <si>
    <t>Canonical Model</t>
  </si>
  <si>
    <t>UI
 └─ sends → CaseContext + user_question
API
 └─ starts → LangGraph
LangGraph
 ENTRY
  ↓
 ContextBuilderNode
  ↓
 IntentRouterNode
  ├─ SimilarityGuidanceNode
  ├─ GlobalPatternNode
  ├─ KPIIntelligenceNode
  └─ PreventionStrategyNode
  ↓
 ResponseFormatterNode
Infrastructure
 ├─ case_index_v3
 ├─ evidence_index_v1
 └─ knowledge_index_v1</t>
  </si>
  <si>
    <t>UC 15</t>
  </si>
  <si>
    <t>POST calls for evidence , bulk and knowledge updates</t>
  </si>
  <si>
    <t>retrieve_case_by_id</t>
  </si>
  <si>
    <t>calculate_KPI</t>
  </si>
  <si>
    <t>retrieve_evidence_for_case</t>
  </si>
  <si>
    <t>ENV</t>
  </si>
  <si>
    <t>backend/.env</t>
  </si>
  <si>
    <t>AZURE_STORAGE_CONTAINER=cases</t>
  </si>
  <si>
    <t>AZURE_STORAGE_CONNECTION_STRING=DefaultEndpointsProtocol=https;AccountName=valuesimsdata;AccountKey=UQXwuFV+dX4k7tWRi0hVQo4cqppEYQxdK/Qi3NEiJJntJscvpneAkIa/soX3ZPxe9Th0Odb/OkbK+ASt17x+zQ==;EndpointSuffix=core.windows.net</t>
  </si>
  <si>
    <t># Azure OpenAI</t>
  </si>
  <si>
    <t>AZURE_OPENAI_ENDPOINT=https://valuesims-openai.services.ai.azure.com/</t>
  </si>
  <si>
    <t>AZURE_OPENAI_API_KEY=5j8bgIzjX7D7n3IrbWe03tieMl6fBkj5FlPg0seyY4NrWPKf1zXmJQQJ99BLACfhMk5XJ3w3AAAAACOGdz4C</t>
  </si>
  <si>
    <t>AZURE_OPENAI_API_VERSION=2024-02-15-preview</t>
  </si>
  <si>
    <t>AZURE_OPENAI_EMBEDDING_DEPLOYMENT=text-embedding-3-large</t>
  </si>
  <si>
    <t># Azure AI Search</t>
  </si>
  <si>
    <t>AZURE_SEARCH_ENDPOINT=https://valuesims-search-service.search.windows.net</t>
  </si>
  <si>
    <t>AZURE_SEARCH_ADMIN_KEY=TtlTRwHVQk773pVYzgQpyLDOZhVTq4FHc2qClMU3DmAzSeDKgW0i</t>
  </si>
  <si>
    <t>$env:AZURE_STORAGE_CONTAINER="cases"</t>
  </si>
  <si>
    <t>$env:AZURE_STORAGE_CONNECTION_STRING="DefaultEndpointsProtocol=https;AccountName=valuesimsdata;AccountKey=UQXwuFV+dX4k7tWRi0hVQo4cqppEYQxdK/Qi3NEiJJntJscvpneAkIa/soX3ZPxe9Th0Odb/OkbK+ASt17x+zQ==;EndpointSuffix=core.windows.net"</t>
  </si>
  <si>
    <t>$env:AZURE_OPENAI_ENDPOINT="https://valuesims-openai.services.ai.azure.com/"</t>
  </si>
  <si>
    <t>$env:AZURE_OPENAI_API_KEY="5j8bgIzjX7D7n3IrbWe03tieMl6fBkj5FlPg0seyY4NrWPKf1zXmJQQJ99BLACfhMk5XJ3w3AAAAACOGdz4C"</t>
  </si>
  <si>
    <t>$env:AZURE_OPENAI_EMBEDDING_DEPLOYMENT="text-embedding-3-large"</t>
  </si>
  <si>
    <t>$env:AZURE_OPENAI_API_VERSION="2024-02-15-preview"</t>
  </si>
  <si>
    <t>AZURE_SEARCH_KEY="TtlTRwHVQk773pVYzgQpyLDOZhVTq4FHc2qClMU3DmAzSeDKgW0i"</t>
  </si>
  <si>
    <t xml:space="preserve">You are an expert backend developer. Refactor and enhance the existing Python ingestion pipeline for Azure AI Search to support production-grade ingestion of large documents.
Specifically, implement the following:
1. **Text Chunking Pipeline**
   - Create a reusable class for chunking text into smaller pieces before generating embeddings.
   - Use overlapping windows (configurable via settings or .env).
   - Each chunk should contain metadata:
     - parent_doc_id
     - chunk_index
     - text_content
   - Combine chunk metadata into the ingestion payload.
2. **Deterministic Idempotent Key Generation**
   - For each document chunk, generate a stable key using SHA-256 over:
     - parent document identifier
     - chunk index
   - Ensure re-ingesting the same content does not create duplicates.
3. **KnowledgeIngestionService Enhancements**
   - Integrate the chunker into the ingestion path.
   - For each chunk:
     - Generate embedding
     - Build payload with correct fields matching the index
     - Upload to `knowledge_index_v1`
   - Remove inline prints and use structured Python logging.
4. **Index Schema Alignment**
   - Index must have fields:
     - doc_id (key)
     - parent_id
     - chunk_index (int)
     - title
     - content_text
     - source
     - version
     - created_at
     - embedding (vector 3072 floats)
   - Use settings for index names and Azure credentials — no magic constants.
5. **Error Handling and Observability**
   - Add structured logging for successes and failures.
   - Wrap Azure Search errors in custom exceptions.
   - Ensure asynchronous retry policies are respectful of settings.
6. **Batching**
   - If ingesting many chunks, use batch upload.
   - Make batch size configurable.
7. **Test Coverage**
   - Add unit tests for chunker class (edge cases, overlap, deterministic keys).
   - Add integration tests for KnowledgeIngestionService.
8. **Maintain Class-based Architecture**
   - Do not introduce free functions. Everything stays inside classes or service layers.
   - Use settings/.env for all configuration.
Generate full Python modules for:
- TextChunker class
- Updated KnowledgeIngestionService
- Updated index payload builder
- Example usage in app.py startup
</t>
  </si>
  <si>
    <t xml:space="preserve">    ----- case_search.py ( not yet)</t>
  </si>
  <si>
    <t xml:space="preserve"> -------evidence_search.py ( not yet)</t>
  </si>
  <si>
    <t xml:space="preserve"> -------knowledge_search.py ( not yet)</t>
  </si>
  <si>
    <t>post_reasoning</t>
  </si>
  <si>
    <t>dispatch_uc()</t>
  </si>
  <si>
    <t>Validate envelope
Route UC1–UCX
Never reason
Never retrieve</t>
  </si>
  <si>
    <t>Layer</t>
  </si>
  <si>
    <t>Category</t>
  </si>
  <si>
    <t>Uses_LLM</t>
  </si>
  <si>
    <t>Uses_Retrieval</t>
  </si>
  <si>
    <t>API</t>
  </si>
  <si>
    <t>post_entry</t>
  </si>
  <si>
    <t>HTTP Endpoint</t>
  </si>
  <si>
    <t>Receives UI requests and converts to EntryEnvelope</t>
  </si>
  <si>
    <t>Main HTTP boundary separating UI from system logic</t>
  </si>
  <si>
    <t>ENTRY</t>
  </si>
  <si>
    <t>Controller</t>
  </si>
  <si>
    <t>Classifies UC and dispatches ingestion or workflow</t>
  </si>
  <si>
    <t>IncidentState or Workflow Invocation</t>
  </si>
  <si>
    <t>Central use-case router without reasoning logic</t>
  </si>
  <si>
    <t>STATE</t>
  </si>
  <si>
    <t>Runtime Model</t>
  </si>
  <si>
    <t>Canonical mutable runtime state</t>
  </si>
  <si>
    <t>Payload</t>
  </si>
  <si>
    <t>State dict</t>
  </si>
  <si>
    <t>Single source of truth passed through LangGraph</t>
  </si>
  <si>
    <t>State model for cross-case learning</t>
  </si>
  <si>
    <t>Closed cases</t>
  </si>
  <si>
    <t>Strategy dict</t>
  </si>
  <si>
    <t>Used only in strategy workflow</t>
  </si>
  <si>
    <t>Field Group</t>
  </si>
  <si>
    <t>Metadata</t>
  </si>
  <si>
    <t>Lifecycle tracking fields</t>
  </si>
  <si>
    <t>Contains case_id, status, timestamps, source</t>
  </si>
  <si>
    <t>Context Model</t>
  </si>
  <si>
    <t>Operational case information</t>
  </si>
  <si>
    <t>Contains problem statement, location, impact etc.</t>
  </si>
  <si>
    <t>DX Model</t>
  </si>
  <si>
    <t>Stores D1–D8 structured outputs</t>
  </si>
  <si>
    <t>Structured reasoning results per discipline stage</t>
  </si>
  <si>
    <t>WORKFLOW</t>
  </si>
  <si>
    <t>Graph Definition</t>
  </si>
  <si>
    <t>Defines D1–D8 operational LangGraph</t>
  </si>
  <si>
    <t>Initial IncidentState</t>
  </si>
  <si>
    <t>Graph execution</t>
  </si>
  <si>
    <t>Pure graph builder – no logic inside</t>
  </si>
  <si>
    <t>Defines cross-case learning graph</t>
  </si>
  <si>
    <t>Separate graph for closed-case intelligence</t>
  </si>
  <si>
    <t>NODE</t>
  </si>
  <si>
    <t>Reasoning Node</t>
  </si>
  <si>
    <t>Generates short-term containment actions</t>
  </si>
  <si>
    <t>Operational reasoning for containment phase</t>
  </si>
  <si>
    <t>CauseAnalysisOutput</t>
  </si>
  <si>
    <t>Root cause reasoning node</t>
  </si>
  <si>
    <t>Defines preventive measures</t>
  </si>
  <si>
    <t>Prevention and systemic improvement node</t>
  </si>
  <si>
    <t>Strategy Node</t>
  </si>
  <si>
    <t>Extracts global patterns from closed cases</t>
  </si>
  <si>
    <t>StrategyInsights</t>
  </si>
  <si>
    <t>Cross-case learning logic</t>
  </si>
  <si>
    <t>RETRIEVAL</t>
  </si>
  <si>
    <t>Tool</t>
  </si>
  <si>
    <t>Performs hybrid BM25 + vector retrieval</t>
  </si>
  <si>
    <t>Query, Filters</t>
  </si>
  <si>
    <t>Ranked results</t>
  </si>
  <si>
    <t>Central retrieval abstraction over search indexes</t>
  </si>
  <si>
    <t>INGESTION</t>
  </si>
  <si>
    <t>Service</t>
  </si>
  <si>
    <t>Persists closed case and updates index</t>
  </si>
  <si>
    <t>Case payload</t>
  </si>
  <si>
    <t>Stored case</t>
  </si>
  <si>
    <t>Handles closed-case persistence and embedding creation</t>
  </si>
  <si>
    <t>Stores evidence file and updates evidence index</t>
  </si>
  <si>
    <t>Evidence payload</t>
  </si>
  <si>
    <t>Indexed evidence</t>
  </si>
  <si>
    <t>Stores and indexes general knowledge documents</t>
  </si>
  <si>
    <t>Document payload</t>
  </si>
  <si>
    <t>Indexed knowledge</t>
  </si>
  <si>
    <t>Used for strategy and prevention reasoning</t>
  </si>
  <si>
    <t>INFRA</t>
  </si>
  <si>
    <t>Adapter</t>
  </si>
  <si>
    <t>Executes search queries against case_index_v3</t>
  </si>
  <si>
    <t>Search query</t>
  </si>
  <si>
    <t>Search results</t>
  </si>
  <si>
    <t>Low-level Azure AI Search wrapper</t>
  </si>
  <si>
    <t>Handles blob storage operations</t>
  </si>
  <si>
    <t>Binary/File</t>
  </si>
  <si>
    <t>Blob reference</t>
  </si>
  <si>
    <t>Azure Blob abstraction layer</t>
  </si>
  <si>
    <t>Generates embeddings via Azure OpenAI</t>
  </si>
  <si>
    <t>Text</t>
  </si>
  <si>
    <t>Vector embedding</t>
  </si>
  <si>
    <t>Embedding generation client</t>
  </si>
  <si>
    <t>Every reasoning node depends on it:</t>
  </si>
  <si>
    <t>Node</t>
  </si>
  <si>
    <t>Needs</t>
  </si>
  <si>
    <t>SimilarityGuidanceNode</t>
  </si>
  <si>
    <t>similar closed cases</t>
  </si>
  <si>
    <t>GlobalPatternNode</t>
  </si>
  <si>
    <t>aggregated root causes</t>
  </si>
  <si>
    <t>KPIIntelligenceNode</t>
  </si>
  <si>
    <t>closed case metadata</t>
  </si>
  <si>
    <t>PreventionStrategyNode</t>
  </si>
  <si>
    <t>cases + knowledge</t>
  </si>
  <si>
    <t>If retrieval is weak:</t>
  </si>
  <si>
    <t>intent routing works</t>
  </si>
  <si>
    <t>nodes run</t>
  </si>
  <si>
    <t>but answers are wrong</t>
  </si>
  <si>
    <t>So yes — HybridRetriever is the correct next move.</t>
  </si>
  <si>
    <t>Performance &amp; KPI Agent</t>
  </si>
  <si>
    <t xml:space="preserve">Calculates Performance &amp; KPIs from closed cases </t>
  </si>
  <si>
    <t>?</t>
  </si>
  <si>
    <t>DATA FLOW PRINCIPLES</t>
  </si>
  <si>
    <t>Component</t>
  </si>
  <si>
    <t>Writes Index?</t>
  </si>
  <si>
    <t>Writes Blob?</t>
  </si>
  <si>
    <t>Uses Embeddings?</t>
  </si>
  <si>
    <t>YES</t>
  </si>
  <si>
    <t>NO</t>
  </si>
  <si>
    <t>OperationalNode</t>
  </si>
  <si>
    <t>Updates case_index_v3</t>
  </si>
  <si>
    <t>STATE MODEL</t>
  </si>
  <si>
    <t>class IncidentGraphState(TypedDict):</t>
  </si>
  <si>
    <t xml:space="preserve">    case_id: str | None</t>
  </si>
  <si>
    <t xml:space="preserve">    question: str</t>
  </si>
  <si>
    <t xml:space="preserve">    classification: IntentClassificationResult | None</t>
  </si>
  <si>
    <t xml:space="preserve">    operational_guidance: OperationalGuidance | None</t>
  </si>
  <si>
    <t xml:space="preserve">    intelligence_result: IntelligenceWorkflowResult | None</t>
  </si>
  <si>
    <t xml:space="preserve">    final_response: dict | None</t>
  </si>
  <si>
    <t>AGENT ARCHITECTURE</t>
  </si>
  <si>
    <t>WORKFLOW CLASS</t>
  </si>
  <si>
    <t>builder = StateGraph(IncidentState)
builder.add_node("context_builder", ContextBuilderNode(...))
builder.add_node("intent_classifier", IntentClassificationNode(...))
builder.add_node("operational", OperationalNode(...))
...
builder.set_entry_point("context_builder")
builder.add_edge(...)</t>
  </si>
  <si>
    <t>TASKS</t>
  </si>
  <si>
    <t>We define:</t>
  </si>
  <si>
    <t>IncidentGraphState</t>
  </si>
  <si>
    <t>Pure Pydantic outputs</t>
  </si>
  <si>
    <t>No persistence</t>
  </si>
  <si>
    <t>🪜 Step 2 — Build Graph Builder Class</t>
  </si>
  <si>
    <t>Only graph wiring:</t>
  </si>
  <si>
    <t>add_node</t>
  </si>
  <si>
    <t>add_edge</t>
  </si>
  <si>
    <t>set_entry_point</t>
  </si>
  <si>
    <t>No logic.</t>
  </si>
  <si>
    <t>🪜 Step 3 — Refactor Nodes</t>
  </si>
  <si>
    <t>Nodes:</t>
  </si>
  <si>
    <t>IntentClassificationNode</t>
  </si>
  <si>
    <t>SimilarityNode</t>
  </si>
  <si>
    <t>StrategyNode</t>
  </si>
  <si>
    <t>KPINode</t>
  </si>
  <si>
    <t>ReflectionNode</t>
  </si>
  <si>
    <t>ResponseFormatterNode</t>
  </si>
  <si>
    <t>All classes.</t>
  </si>
  <si>
    <t>No free functions.</t>
  </si>
  <si>
    <t>🪜 Step 4 — EntryHandler Change</t>
  </si>
  <si>
    <t>Instead of:</t>
  </si>
  <si>
    <t>self._workflow.invoke_operational()</t>
  </si>
  <si>
    <t>We do:</t>
  </si>
  <si>
    <t>result_state = self._graph.invoke(initial_state)</t>
  </si>
  <si>
    <t>Then persist.</t>
  </si>
  <si>
    <t>What each node Does</t>
  </si>
  <si>
    <t>ContextBuilderNode</t>
  </si>
  <si>
    <t>IntentClassificationNode (LLM-Light)</t>
  </si>
  <si>
    <t>Classifies :
1. Operational_Case
2. Similarity_Search
3. Strategy_Analysis
4. KPI_Analysis</t>
  </si>
  <si>
    <t>1. Intent
2. Scope
3. Confidence</t>
  </si>
  <si>
    <t>IntentRouterNode</t>
  </si>
  <si>
    <t>Produces : OperationalDraft</t>
  </si>
  <si>
    <t>OperationalReflectionNode</t>
  </si>
  <si>
    <t>Second LLM Call :
1. Validates structure
2. Improves clarity
3. Ensures D-State awareness
4. Removes Hallucinations</t>
  </si>
  <si>
    <t>Outputs : OperationalGuidance</t>
  </si>
  <si>
    <t>SimilarityReflectionNode</t>
  </si>
  <si>
    <t>1. Validates Aggregation
2. Ensures not hallucinating statistics</t>
  </si>
  <si>
    <t>1. Uses case_index + knowledge_index
2. LLM proposes prevention measures</t>
  </si>
  <si>
    <t>StrategyReflectionNode</t>
  </si>
  <si>
    <t>Validates speration between :
1. Data - Delivered
2. LLM general Knowledge</t>
  </si>
  <si>
    <t>KPINode ( NO LLM ?)</t>
  </si>
  <si>
    <t xml:space="preserve">Uses HybridRetriever.filtered_search 
Calculates : min/avg/max / count 
Returns metrics
</t>
  </si>
  <si>
    <t>Optional KPIReflectionNode(LLM Interpreter)</t>
  </si>
  <si>
    <t>ResponseFormatedNode</t>
  </si>
  <si>
    <t>Single Place where final JSON for UI is built
This prevents each node inventing ist own output structure</t>
  </si>
  <si>
    <t>UI
  ↓
EntryHandler
  ↓
LangGraph.invoke(state)
Graph:
ENTRY
  ↓
ContextBuilderNode
  ↓
IntentClassificationNode (LLM-light)
  ↓
IntentRouterNode
    ├─ if OPERATIONAL_CASE → OperationalNode
    │                          ↓
    │                       OperationalReflectionNode
    │
    ├─ if SIMILARITY_SEARCH → SimilarityNode
    │                          ↓
    │                       SimilarityReflectionNode
    │
    ├─ if STRATEGY_ANALYSIS → StrategyNode
    │                          ↓
    │                       StrategyReflectionNode
    │
    └─ if KPI_ANALYSIS → KPINode (pure code)
                               ↓
                          KPIReflectionNode (optional)
  ↓
ResponseFormatterNode  ↓
END</t>
  </si>
  <si>
    <t>1. Loads case from blob if case_id present
2. Detects current D-State
3. Attaches structured context to graph State
4. No LLM
5. No retrieval</t>
  </si>
  <si>
    <t>Only classifies intent + scope
Zero retrieval
Zero reasoning</t>
  </si>
  <si>
    <t>Pure deterministic routing
No LLM</t>
  </si>
  <si>
    <t xml:space="preserve">1. Uses HubridRetriever
2. Retrieves :
    1. similar closed cases
    2. evidence ( if case_id exists)
3. Calls LLM
4. Produces draft JSON only
</t>
  </si>
  <si>
    <t>1. Retrieves similar closed cases
2. LLM summarizes patterns
3. HybridRetriever</t>
  </si>
  <si>
    <t>Enforce seperation of internal vs 
general knowledge</t>
  </si>
  <si>
    <t>filtered_search(status eq 'closed')</t>
  </si>
  <si>
    <t>GRAPH STATE</t>
  </si>
  <si>
    <t>class IncidentGraphState(TypedDict, total=False):
    case_id: str | None
    question: str
    case_context: dict | None
    current_d_state: str | None
    classification: IntentClassificationResult | None
    operational_draft: dict | None
    operational_result: OperationalGuidance | None
    similarity_draft: dict | None
    similarity_result: dict | None
    strategy_draft: dict | None
    strategy_result: dict | None
    kpi_metrics: KPIMetrics | None
    kpi_interpretation: dict | None
    final_response: dict | None</t>
  </si>
  <si>
    <t>Level 3 Model Architecture</t>
  </si>
  <si>
    <t>Model Type</t>
  </si>
  <si>
    <t>Why</t>
  </si>
  <si>
    <t>IntentClassification</t>
  </si>
  <si>
    <t>small / fast model</t>
  </si>
  <si>
    <t>deterministic routing</t>
  </si>
  <si>
    <t>strong reasoning model</t>
  </si>
  <si>
    <t>D-state advice</t>
  </si>
  <si>
    <t>medium reasoning</t>
  </si>
  <si>
    <t>synthesis</t>
  </si>
  <si>
    <t>strongest model</t>
  </si>
  <si>
    <t>cross-case systemic analysis</t>
  </si>
  <si>
    <t>maybe no LLM</t>
  </si>
  <si>
    <t>deterministic</t>
  </si>
  <si>
    <t>Reflection nodes</t>
  </si>
  <si>
    <t>same or smaller model</t>
  </si>
  <si>
    <t>critique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</si>
</sst>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4"/>
      <color theme="1"/>
      <name val="Calibri"/>
      <family val="2"/>
      <scheme val="minor"/>
    </font>
    <font>
      <sz val="10"/>
      <color theme="1"/>
      <name val="Arial Unicode MS"/>
    </font>
    <font>
      <sz val="14"/>
      <color theme="1"/>
      <name val="Calibri"/>
      <family val="2"/>
      <scheme val="minor"/>
    </font>
    <font>
      <sz val="12"/>
      <color theme="1"/>
      <name val="Calibri"/>
      <family val="2"/>
      <scheme val="minor"/>
    </font>
    <font>
      <b/>
      <sz val="16"/>
      <color theme="0"/>
      <name val="Calibri"/>
      <family val="2"/>
      <scheme val="minor"/>
    </font>
    <font>
      <sz val="14"/>
      <color theme="0"/>
      <name val="Calibri"/>
      <family val="2"/>
      <scheme val="minor"/>
    </font>
    <font>
      <b/>
      <sz val="18"/>
      <color theme="0"/>
      <name val="Calibri"/>
      <family val="2"/>
      <scheme val="minor"/>
    </font>
    <font>
      <sz val="12"/>
      <color theme="0"/>
      <name val="Calibri"/>
      <family val="2"/>
      <scheme val="minor"/>
    </font>
    <font>
      <sz val="14"/>
      <color theme="1"/>
      <name val="Arial Unicode MS"/>
    </font>
    <font>
      <b/>
      <sz val="14"/>
      <color theme="1"/>
      <name val="Arial Unicode MS"/>
    </font>
    <font>
      <i/>
      <sz val="11"/>
      <color theme="1"/>
      <name val="Calibri"/>
      <family val="2"/>
      <scheme val="minor"/>
    </font>
    <font>
      <b/>
      <sz val="18"/>
      <color theme="1"/>
      <name val="Calibri"/>
      <family val="2"/>
      <scheme val="minor"/>
    </font>
    <font>
      <i/>
      <sz val="11"/>
      <color rgb="FF002060"/>
      <name val="Calibri"/>
      <family val="2"/>
      <scheme val="minor"/>
    </font>
    <font>
      <b/>
      <sz val="13.5"/>
      <color theme="1"/>
      <name val="Calibri"/>
      <family val="2"/>
      <scheme val="minor"/>
    </font>
    <font>
      <b/>
      <sz val="10"/>
      <color theme="1"/>
      <name val="Arial Unicode MS"/>
    </font>
    <font>
      <sz val="9"/>
      <color indexed="81"/>
      <name val="Tahoma"/>
      <family val="2"/>
    </font>
    <font>
      <b/>
      <sz val="9"/>
      <color indexed="81"/>
      <name val="Tahoma"/>
      <family val="2"/>
    </font>
    <font>
      <sz val="9"/>
      <color indexed="81"/>
      <name val="Tahoma"/>
    </font>
    <font>
      <b/>
      <sz val="9"/>
      <color indexed="81"/>
      <name val="Tahoma"/>
    </font>
    <font>
      <sz val="18"/>
      <color theme="1"/>
      <name val="Calibri"/>
      <family val="2"/>
      <scheme val="minor"/>
    </font>
    <font>
      <sz val="8"/>
      <name val="Calibri"/>
      <family val="2"/>
      <scheme val="minor"/>
    </font>
    <font>
      <sz val="18"/>
      <name val="Arial"/>
      <family val="2"/>
    </font>
    <font>
      <b/>
      <sz val="12"/>
      <color rgb="FFFFFFFF"/>
      <name val="Aptos"/>
      <family val="2"/>
    </font>
    <font>
      <sz val="12"/>
      <color rgb="FF000000"/>
      <name val="Aptos"/>
      <family val="2"/>
    </font>
    <font>
      <sz val="12"/>
      <name val="Arial"/>
      <family val="2"/>
    </font>
    <font>
      <sz val="12"/>
      <name val="+mj-lt"/>
    </font>
    <font>
      <b/>
      <sz val="12"/>
      <color rgb="FF000000"/>
      <name val="Aptos"/>
      <family val="2"/>
    </font>
    <font>
      <sz val="24"/>
      <color rgb="FFFF0000"/>
      <name val="Calibri"/>
      <family val="2"/>
      <scheme val="minor"/>
    </font>
    <font>
      <b/>
      <sz val="14"/>
      <color rgb="FF3F3F76"/>
      <name val="Calibri"/>
      <family val="2"/>
      <scheme val="minor"/>
    </font>
    <font>
      <b/>
      <sz val="16"/>
      <color rgb="FF3F3F76"/>
      <name val="Calibri"/>
      <family val="2"/>
      <scheme val="minor"/>
    </font>
    <font>
      <sz val="12"/>
      <color theme="1"/>
      <name val="Arial Unicode MS"/>
    </font>
    <font>
      <sz val="10"/>
      <color theme="1"/>
      <name val="Calibri"/>
      <family val="2"/>
      <scheme val="minor"/>
    </font>
    <font>
      <b/>
      <sz val="10"/>
      <color theme="1"/>
      <name val="Calibri"/>
      <family val="2"/>
      <scheme val="minor"/>
    </font>
    <font>
      <b/>
      <sz val="24"/>
      <color theme="1"/>
      <name val="Calibri"/>
      <family val="2"/>
      <scheme val="minor"/>
    </font>
    <font>
      <sz val="16"/>
      <color theme="1"/>
      <name val="Calibri"/>
      <family val="2"/>
      <scheme val="minor"/>
    </font>
  </fonts>
  <fills count="14">
    <fill>
      <patternFill patternType="none"/>
    </fill>
    <fill>
      <patternFill patternType="gray125"/>
    </fill>
    <fill>
      <patternFill patternType="solid">
        <fgColor rgb="FFFFCC99"/>
      </patternFill>
    </fill>
    <fill>
      <patternFill patternType="solid">
        <fgColor theme="6" tint="0.59999389629810485"/>
        <bgColor theme="6" tint="0.59999389629810485"/>
      </patternFill>
    </fill>
    <fill>
      <patternFill patternType="solid">
        <fgColor theme="6" tint="0.79998168889431442"/>
        <bgColor theme="6" tint="0.79998168889431442"/>
      </patternFill>
    </fill>
    <fill>
      <patternFill patternType="solid">
        <fgColor rgb="FF002060"/>
        <bgColor indexed="64"/>
      </patternFill>
    </fill>
    <fill>
      <patternFill patternType="solid">
        <fgColor theme="0" tint="-4.9989318521683403E-2"/>
        <bgColor indexed="64"/>
      </patternFill>
    </fill>
    <fill>
      <patternFill patternType="solid">
        <fgColor rgb="FFFFCCFF"/>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156082"/>
        <bgColor indexed="64"/>
      </patternFill>
    </fill>
    <fill>
      <patternFill patternType="solid">
        <fgColor rgb="FFCCD2D8"/>
        <bgColor indexed="64"/>
      </patternFill>
    </fill>
    <fill>
      <patternFill patternType="solid">
        <fgColor rgb="FFE7EAED"/>
        <bgColor indexed="64"/>
      </patternFill>
    </fill>
    <fill>
      <patternFill patternType="solid">
        <fgColor rgb="FFFFFF00"/>
        <bgColor indexed="64"/>
      </patternFill>
    </fill>
  </fills>
  <borders count="11">
    <border>
      <left/>
      <right/>
      <top/>
      <bottom/>
      <diagonal/>
    </border>
    <border>
      <left style="thin">
        <color rgb="FF7F7F7F"/>
      </left>
      <right style="thin">
        <color rgb="FF7F7F7F"/>
      </right>
      <top style="thin">
        <color rgb="FF7F7F7F"/>
      </top>
      <bottom style="thin">
        <color rgb="FF7F7F7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medium">
        <color rgb="FFFFFFFF"/>
      </left>
      <right style="medium">
        <color rgb="FFFFFFFF"/>
      </right>
      <top style="medium">
        <color rgb="FFFFFFFF"/>
      </top>
      <bottom/>
      <diagonal/>
    </border>
    <border>
      <left style="medium">
        <color rgb="FFFFFFFF"/>
      </left>
      <right style="medium">
        <color rgb="FFFFFFFF"/>
      </right>
      <top/>
      <bottom style="thick">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bottom/>
      <diagonal/>
    </border>
    <border>
      <left style="thin">
        <color rgb="FF7F7F7F"/>
      </left>
      <right style="thin">
        <color rgb="FF7F7F7F"/>
      </right>
      <top/>
      <bottom/>
      <diagonal/>
    </border>
  </borders>
  <cellStyleXfs count="2">
    <xf numFmtId="0" fontId="0" fillId="0" borderId="0"/>
    <xf numFmtId="0" fontId="1" fillId="2" borderId="1" applyNumberFormat="0" applyAlignment="0" applyProtection="0"/>
  </cellStyleXfs>
  <cellXfs count="132">
    <xf numFmtId="0" fontId="0" fillId="0" borderId="0" xfId="0"/>
    <xf numFmtId="0" fontId="3" fillId="0" borderId="0" xfId="0" applyFont="1"/>
    <xf numFmtId="0" fontId="6" fillId="0" borderId="0" xfId="0" applyFont="1"/>
    <xf numFmtId="0" fontId="0" fillId="0" borderId="0" xfId="0" applyAlignment="1">
      <alignment horizontal="center" vertical="center" wrapText="1"/>
    </xf>
    <xf numFmtId="0" fontId="3"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horizontal="center"/>
    </xf>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center" wrapText="1"/>
    </xf>
    <xf numFmtId="0" fontId="0" fillId="0" borderId="0" xfId="0" applyAlignment="1">
      <alignment horizontal="left" vertical="center"/>
    </xf>
    <xf numFmtId="0" fontId="8" fillId="0" borderId="0" xfId="0" applyFont="1"/>
    <xf numFmtId="0" fontId="7" fillId="0" borderId="0" xfId="0" applyFont="1"/>
    <xf numFmtId="0" fontId="15" fillId="0" borderId="0" xfId="0" applyFont="1"/>
    <xf numFmtId="0" fontId="8" fillId="0" borderId="0" xfId="0" applyFont="1" applyAlignment="1">
      <alignment vertical="center" wrapText="1"/>
    </xf>
    <xf numFmtId="0" fontId="14" fillId="0" borderId="0" xfId="0" applyFont="1" applyAlignment="1">
      <alignment vertical="center" wrapText="1"/>
    </xf>
    <xf numFmtId="0" fontId="8" fillId="0" borderId="0" xfId="0" applyFont="1" applyAlignment="1">
      <alignment wrapText="1"/>
    </xf>
    <xf numFmtId="0" fontId="0" fillId="0" borderId="0" xfId="0" applyAlignment="1">
      <alignment horizontal="left" vertical="center" indent="1"/>
    </xf>
    <xf numFmtId="0" fontId="0" fillId="0" borderId="0" xfId="0" applyAlignment="1">
      <alignment vertical="center"/>
    </xf>
    <xf numFmtId="0" fontId="17" fillId="0" borderId="0" xfId="0" applyFont="1" applyAlignment="1">
      <alignment vertical="center"/>
    </xf>
    <xf numFmtId="0" fontId="3" fillId="0" borderId="0" xfId="0" applyFont="1" applyAlignment="1">
      <alignment vertical="center"/>
    </xf>
    <xf numFmtId="0" fontId="8" fillId="6" borderId="0" xfId="0" applyFont="1" applyFill="1" applyAlignment="1">
      <alignment vertical="center"/>
    </xf>
    <xf numFmtId="0" fontId="9" fillId="6" borderId="0" xfId="0" applyFont="1" applyFill="1" applyAlignment="1">
      <alignment vertical="center" wrapText="1"/>
    </xf>
    <xf numFmtId="0" fontId="10" fillId="5" borderId="0" xfId="0" applyFont="1" applyFill="1" applyAlignment="1">
      <alignment horizontal="center" vertical="center"/>
    </xf>
    <xf numFmtId="0" fontId="3" fillId="0" borderId="0" xfId="0" applyFont="1" applyAlignment="1">
      <alignment horizontal="left" vertical="center" indent="1"/>
    </xf>
    <xf numFmtId="0" fontId="0" fillId="0" borderId="0" xfId="0" applyAlignment="1">
      <alignment horizontal="left" vertical="center" indent="2"/>
    </xf>
    <xf numFmtId="0" fontId="19" fillId="0" borderId="0" xfId="0" applyFont="1" applyAlignment="1">
      <alignment vertical="center"/>
    </xf>
    <xf numFmtId="0" fontId="5" fillId="0" borderId="0" xfId="0" applyFont="1" applyAlignment="1">
      <alignment vertical="center"/>
    </xf>
    <xf numFmtId="0" fontId="7" fillId="0" borderId="0" xfId="0" applyFont="1" applyAlignment="1">
      <alignment vertical="center"/>
    </xf>
    <xf numFmtId="0" fontId="2" fillId="0" borderId="0" xfId="0" applyFont="1" applyAlignment="1">
      <alignment horizontal="left" vertical="top"/>
    </xf>
    <xf numFmtId="0" fontId="3" fillId="0" borderId="0" xfId="0" applyFont="1" applyAlignment="1">
      <alignment vertical="center" wrapText="1"/>
    </xf>
    <xf numFmtId="0" fontId="0" fillId="0" borderId="0" xfId="0" applyAlignment="1">
      <alignment horizontal="left"/>
    </xf>
    <xf numFmtId="0" fontId="0" fillId="7" borderId="0" xfId="0" applyFill="1"/>
    <xf numFmtId="0" fontId="0" fillId="9" borderId="0" xfId="0" applyFill="1"/>
    <xf numFmtId="0" fontId="8" fillId="0" borderId="0" xfId="0" applyFont="1" applyAlignment="1">
      <alignment vertical="center"/>
    </xf>
    <xf numFmtId="0" fontId="8" fillId="3" borderId="0" xfId="0" applyFont="1" applyFill="1" applyAlignment="1">
      <alignment vertical="center" wrapText="1"/>
    </xf>
    <xf numFmtId="0" fontId="8" fillId="4" borderId="0" xfId="0" applyFont="1" applyFill="1" applyAlignment="1">
      <alignment vertical="center" wrapText="1"/>
    </xf>
    <xf numFmtId="0" fontId="28" fillId="10" borderId="4" xfId="0" applyFont="1" applyFill="1" applyBorder="1" applyAlignment="1">
      <alignment horizontal="left" vertical="center" wrapText="1" readingOrder="1"/>
    </xf>
    <xf numFmtId="0" fontId="28" fillId="10" borderId="5" xfId="0" applyFont="1" applyFill="1" applyBorder="1" applyAlignment="1">
      <alignment horizontal="left" vertical="center" wrapText="1" readingOrder="1"/>
    </xf>
    <xf numFmtId="0" fontId="29" fillId="11" borderId="6" xfId="0" applyFont="1" applyFill="1" applyBorder="1" applyAlignment="1">
      <alignment horizontal="left" vertical="center" wrapText="1" readingOrder="1"/>
    </xf>
    <xf numFmtId="0" fontId="29" fillId="11" borderId="7" xfId="0" applyFont="1" applyFill="1" applyBorder="1" applyAlignment="1">
      <alignment horizontal="left" vertical="center" wrapText="1" readingOrder="1"/>
    </xf>
    <xf numFmtId="0" fontId="29" fillId="12" borderId="4" xfId="0" applyFont="1" applyFill="1" applyBorder="1" applyAlignment="1">
      <alignment horizontal="left" vertical="center" wrapText="1" readingOrder="1"/>
    </xf>
    <xf numFmtId="0" fontId="29" fillId="12" borderId="9" xfId="0" applyFont="1" applyFill="1" applyBorder="1" applyAlignment="1">
      <alignment horizontal="left" vertical="center" wrapText="1" readingOrder="1"/>
    </xf>
    <xf numFmtId="0" fontId="27" fillId="12" borderId="7" xfId="0" applyFont="1" applyFill="1" applyBorder="1" applyAlignment="1">
      <alignment vertical="top" wrapText="1"/>
    </xf>
    <xf numFmtId="0" fontId="29" fillId="11" borderId="4" xfId="0" applyFont="1" applyFill="1" applyBorder="1" applyAlignment="1">
      <alignment horizontal="left" vertical="center" wrapText="1" readingOrder="1"/>
    </xf>
    <xf numFmtId="0" fontId="31" fillId="11" borderId="9" xfId="0" applyFont="1" applyFill="1" applyBorder="1" applyAlignment="1">
      <alignment horizontal="left" vertical="center" wrapText="1" indent="4" readingOrder="1"/>
    </xf>
    <xf numFmtId="0" fontId="31" fillId="11" borderId="7" xfId="0" applyFont="1" applyFill="1" applyBorder="1" applyAlignment="1">
      <alignment horizontal="left" vertical="center" wrapText="1" indent="4" readingOrder="1"/>
    </xf>
    <xf numFmtId="0" fontId="29" fillId="12" borderId="8" xfId="0" applyFont="1" applyFill="1" applyBorder="1" applyAlignment="1">
      <alignment horizontal="left" vertical="center" wrapText="1" readingOrder="1"/>
    </xf>
    <xf numFmtId="0" fontId="27" fillId="12" borderId="8" xfId="0" applyFont="1" applyFill="1" applyBorder="1" applyAlignment="1">
      <alignment vertical="top" wrapText="1"/>
    </xf>
    <xf numFmtId="0" fontId="29" fillId="11" borderId="8" xfId="0" applyFont="1" applyFill="1" applyBorder="1" applyAlignment="1">
      <alignment horizontal="left" vertical="center" wrapText="1" readingOrder="1"/>
    </xf>
    <xf numFmtId="0" fontId="27" fillId="11" borderId="8" xfId="0" applyFont="1" applyFill="1" applyBorder="1" applyAlignment="1">
      <alignment vertical="top" wrapText="1"/>
    </xf>
    <xf numFmtId="0" fontId="31" fillId="12" borderId="9" xfId="0" applyFont="1" applyFill="1" applyBorder="1" applyAlignment="1">
      <alignment horizontal="left" vertical="center" wrapText="1" indent="4" readingOrder="1"/>
    </xf>
    <xf numFmtId="0" fontId="31" fillId="12" borderId="7" xfId="0" applyFont="1" applyFill="1" applyBorder="1" applyAlignment="1">
      <alignment horizontal="left" vertical="center" wrapText="1" indent="4" readingOrder="1"/>
    </xf>
    <xf numFmtId="0" fontId="28" fillId="10" borderId="4" xfId="0" applyFont="1" applyFill="1" applyBorder="1" applyAlignment="1">
      <alignment vertical="center" wrapText="1" readingOrder="1"/>
    </xf>
    <xf numFmtId="0" fontId="28" fillId="10" borderId="5" xfId="0" applyFont="1" applyFill="1" applyBorder="1" applyAlignment="1">
      <alignment vertical="center" wrapText="1" readingOrder="1"/>
    </xf>
    <xf numFmtId="0" fontId="29" fillId="11" borderId="8" xfId="0" applyFont="1" applyFill="1" applyBorder="1" applyAlignment="1">
      <alignment horizontal="right" vertical="center" wrapText="1" readingOrder="1"/>
    </xf>
    <xf numFmtId="0" fontId="32" fillId="12" borderId="8" xfId="0" applyFont="1" applyFill="1" applyBorder="1" applyAlignment="1">
      <alignment horizontal="left" vertical="center" wrapText="1" readingOrder="1"/>
    </xf>
    <xf numFmtId="0" fontId="0" fillId="0" borderId="0" xfId="0" applyAlignment="1">
      <alignment horizontal="right"/>
    </xf>
    <xf numFmtId="0" fontId="33" fillId="0" borderId="0" xfId="0" applyFont="1"/>
    <xf numFmtId="0" fontId="5" fillId="0" borderId="0" xfId="0" applyFont="1" applyAlignment="1">
      <alignment vertical="center" wrapText="1"/>
    </xf>
    <xf numFmtId="0" fontId="34" fillId="2" borderId="1" xfId="1" applyFont="1" applyAlignment="1">
      <alignment vertical="center" wrapText="1"/>
    </xf>
    <xf numFmtId="0" fontId="35" fillId="2" borderId="1" xfId="1" applyFont="1" applyAlignment="1">
      <alignment vertical="center"/>
    </xf>
    <xf numFmtId="0" fontId="0" fillId="0" borderId="0" xfId="0" applyAlignment="1">
      <alignment horizontal="left" vertical="center" wrapText="1" indent="1"/>
    </xf>
    <xf numFmtId="0" fontId="30" fillId="12" borderId="9" xfId="0" applyFont="1" applyFill="1" applyBorder="1" applyAlignment="1">
      <alignment horizontal="left" vertical="center" wrapText="1" readingOrder="1"/>
    </xf>
    <xf numFmtId="0" fontId="30" fillId="12" borderId="7" xfId="0" applyFont="1" applyFill="1" applyBorder="1" applyAlignment="1">
      <alignment horizontal="left" vertical="center" wrapText="1" readingOrder="1"/>
    </xf>
    <xf numFmtId="0" fontId="35" fillId="2" borderId="10" xfId="1" applyFont="1" applyBorder="1" applyAlignment="1">
      <alignment vertical="center"/>
    </xf>
    <xf numFmtId="0" fontId="0" fillId="13" borderId="0" xfId="0" applyFill="1"/>
    <xf numFmtId="0" fontId="36" fillId="0" borderId="0" xfId="0" applyFont="1" applyAlignment="1">
      <alignment vertical="center" wrapText="1"/>
    </xf>
    <xf numFmtId="0" fontId="9" fillId="0" borderId="0" xfId="0" applyFont="1"/>
    <xf numFmtId="0" fontId="8" fillId="0" borderId="2" xfId="0" applyFont="1" applyBorder="1"/>
    <xf numFmtId="0" fontId="14" fillId="3" borderId="0" xfId="0" applyFont="1" applyFill="1" applyAlignment="1">
      <alignment vertical="center" wrapText="1"/>
    </xf>
    <xf numFmtId="0" fontId="14" fillId="4" borderId="0" xfId="0" applyFont="1" applyFill="1" applyAlignment="1">
      <alignment vertical="center" wrapText="1"/>
    </xf>
    <xf numFmtId="0" fontId="9" fillId="0" borderId="2" xfId="0" applyFont="1" applyBorder="1"/>
    <xf numFmtId="0" fontId="36" fillId="3" borderId="0" xfId="0" applyFont="1" applyFill="1" applyAlignment="1">
      <alignment vertical="center" wrapText="1"/>
    </xf>
    <xf numFmtId="0" fontId="36" fillId="4" borderId="0" xfId="0" applyFont="1" applyFill="1" applyAlignment="1">
      <alignment vertical="center" wrapText="1"/>
    </xf>
    <xf numFmtId="0" fontId="8" fillId="0" borderId="2" xfId="0" applyFont="1" applyBorder="1" applyAlignment="1">
      <alignment wrapText="1"/>
    </xf>
    <xf numFmtId="0" fontId="8" fillId="0" borderId="3" xfId="0" applyFont="1" applyBorder="1"/>
    <xf numFmtId="0" fontId="29" fillId="12" borderId="4" xfId="0" applyFont="1" applyFill="1" applyBorder="1" applyAlignment="1">
      <alignment horizontal="right" vertical="center" wrapText="1" readingOrder="1"/>
    </xf>
    <xf numFmtId="0" fontId="29" fillId="12" borderId="9" xfId="0" applyFont="1" applyFill="1" applyBorder="1" applyAlignment="1">
      <alignment horizontal="right" vertical="center" wrapText="1" readingOrder="1"/>
    </xf>
    <xf numFmtId="0" fontId="29" fillId="12" borderId="7" xfId="0" applyFont="1" applyFill="1" applyBorder="1" applyAlignment="1">
      <alignment horizontal="right" vertical="center" wrapText="1" readingOrder="1"/>
    </xf>
    <xf numFmtId="0" fontId="29" fillId="12" borderId="4" xfId="0" applyFont="1" applyFill="1" applyBorder="1" applyAlignment="1">
      <alignment horizontal="left" vertical="center" wrapText="1" readingOrder="1"/>
    </xf>
    <xf numFmtId="0" fontId="29" fillId="12" borderId="9" xfId="0" applyFont="1" applyFill="1" applyBorder="1" applyAlignment="1">
      <alignment horizontal="left" vertical="center" wrapText="1" readingOrder="1"/>
    </xf>
    <xf numFmtId="0" fontId="29" fillId="12" borderId="7" xfId="0" applyFont="1" applyFill="1" applyBorder="1" applyAlignment="1">
      <alignment horizontal="left" vertical="center" wrapText="1" readingOrder="1"/>
    </xf>
    <xf numFmtId="0" fontId="28" fillId="10" borderId="4" xfId="0" applyFont="1" applyFill="1" applyBorder="1" applyAlignment="1">
      <alignment horizontal="left" vertical="center" wrapText="1" readingOrder="1"/>
    </xf>
    <xf numFmtId="0" fontId="28" fillId="10" borderId="5" xfId="0" applyFont="1" applyFill="1" applyBorder="1" applyAlignment="1">
      <alignment horizontal="left" vertical="center" wrapText="1" readingOrder="1"/>
    </xf>
    <xf numFmtId="0" fontId="32" fillId="11" borderId="6" xfId="0" applyFont="1" applyFill="1" applyBorder="1" applyAlignment="1">
      <alignment horizontal="left" vertical="center" wrapText="1" readingOrder="1"/>
    </xf>
    <xf numFmtId="0" fontId="32" fillId="11" borderId="7" xfId="0" applyFont="1" applyFill="1" applyBorder="1" applyAlignment="1">
      <alignment horizontal="left" vertical="center" wrapText="1" readingOrder="1"/>
    </xf>
    <xf numFmtId="0" fontId="27" fillId="11" borderId="6" xfId="0" applyFont="1" applyFill="1" applyBorder="1" applyAlignment="1">
      <alignment vertical="top" wrapText="1"/>
    </xf>
    <xf numFmtId="0" fontId="27" fillId="11" borderId="7" xfId="0" applyFont="1" applyFill="1" applyBorder="1" applyAlignment="1">
      <alignment vertical="top" wrapText="1"/>
    </xf>
    <xf numFmtId="0" fontId="29" fillId="11" borderId="4" xfId="0" applyFont="1" applyFill="1" applyBorder="1" applyAlignment="1">
      <alignment horizontal="right" vertical="center" wrapText="1" readingOrder="1"/>
    </xf>
    <xf numFmtId="0" fontId="29" fillId="11" borderId="9" xfId="0" applyFont="1" applyFill="1" applyBorder="1" applyAlignment="1">
      <alignment horizontal="right" vertical="center" wrapText="1" readingOrder="1"/>
    </xf>
    <xf numFmtId="0" fontId="29" fillId="11" borderId="7" xfId="0" applyFont="1" applyFill="1" applyBorder="1" applyAlignment="1">
      <alignment horizontal="right" vertical="center" wrapText="1" readingOrder="1"/>
    </xf>
    <xf numFmtId="0" fontId="29" fillId="11" borderId="4" xfId="0" applyFont="1" applyFill="1" applyBorder="1" applyAlignment="1">
      <alignment horizontal="left" vertical="center" wrapText="1" readingOrder="1"/>
    </xf>
    <xf numFmtId="0" fontId="29" fillId="11" borderId="9" xfId="0" applyFont="1" applyFill="1" applyBorder="1" applyAlignment="1">
      <alignment horizontal="left" vertical="center" wrapText="1" readingOrder="1"/>
    </xf>
    <xf numFmtId="0" fontId="29" fillId="11" borderId="7" xfId="0" applyFont="1" applyFill="1" applyBorder="1" applyAlignment="1">
      <alignment horizontal="left" vertical="center" wrapText="1" readingOrder="1"/>
    </xf>
    <xf numFmtId="0" fontId="0" fillId="0" borderId="0" xfId="0" applyAlignment="1">
      <alignment horizontal="left" vertical="center" wrapText="1"/>
    </xf>
    <xf numFmtId="0" fontId="8" fillId="6" borderId="0" xfId="0" applyFont="1" applyFill="1" applyAlignment="1">
      <alignment horizontal="left" vertical="center" wrapText="1"/>
    </xf>
    <xf numFmtId="0" fontId="8" fillId="6" borderId="0" xfId="0" applyFont="1" applyFill="1" applyAlignment="1">
      <alignment horizontal="left" vertical="center"/>
    </xf>
    <xf numFmtId="0" fontId="0" fillId="8" borderId="0" xfId="0" applyFill="1" applyAlignment="1">
      <alignment horizontal="left" vertical="center" wrapText="1"/>
    </xf>
    <xf numFmtId="0" fontId="0" fillId="8" borderId="0" xfId="0" applyFill="1" applyAlignment="1">
      <alignment horizontal="left" vertical="center"/>
    </xf>
    <xf numFmtId="0" fontId="4" fillId="5" borderId="0" xfId="0" applyFont="1" applyFill="1" applyAlignment="1">
      <alignment horizontal="center" wrapText="1"/>
    </xf>
    <xf numFmtId="0" fontId="0" fillId="5" borderId="0" xfId="0" applyFill="1" applyAlignment="1">
      <alignment horizontal="center" wrapText="1"/>
    </xf>
    <xf numFmtId="0" fontId="0" fillId="6" borderId="0" xfId="0" applyFill="1" applyAlignment="1">
      <alignment horizontal="left" vertical="center" wrapText="1"/>
    </xf>
    <xf numFmtId="0" fontId="0" fillId="6" borderId="0" xfId="0" applyFill="1" applyAlignment="1">
      <alignment horizontal="left" vertical="center"/>
    </xf>
    <xf numFmtId="0" fontId="4" fillId="5" borderId="0" xfId="0" applyFont="1" applyFill="1" applyAlignment="1">
      <alignment horizontal="center" vertical="center" wrapText="1"/>
    </xf>
    <xf numFmtId="0" fontId="0" fillId="0" borderId="0" xfId="0" applyAlignment="1">
      <alignment horizontal="center"/>
    </xf>
    <xf numFmtId="0" fontId="0" fillId="0" borderId="0" xfId="0" applyAlignment="1">
      <alignment horizontal="left" vertical="top"/>
    </xf>
    <xf numFmtId="0" fontId="8" fillId="6" borderId="0" xfId="0" applyFont="1" applyFill="1" applyAlignment="1">
      <alignment horizontal="center" vertical="center"/>
    </xf>
    <xf numFmtId="0" fontId="0" fillId="0" borderId="0" xfId="0" applyAlignment="1">
      <alignment horizontal="center" vertical="top"/>
    </xf>
    <xf numFmtId="0" fontId="0" fillId="0" borderId="0" xfId="0" applyAlignment="1">
      <alignment horizontal="left" vertical="top" wrapText="1"/>
    </xf>
    <xf numFmtId="0" fontId="37" fillId="0" borderId="0" xfId="0" applyFont="1" applyAlignment="1">
      <alignment vertical="center"/>
    </xf>
    <xf numFmtId="0" fontId="37" fillId="0" borderId="0" xfId="0" applyFont="1" applyAlignment="1">
      <alignment vertical="center" wrapText="1"/>
    </xf>
    <xf numFmtId="0" fontId="37" fillId="0" borderId="0" xfId="0" applyFont="1" applyAlignment="1">
      <alignment horizontal="left" vertical="center"/>
    </xf>
    <xf numFmtId="0" fontId="37" fillId="0" borderId="0" xfId="0" applyFont="1"/>
    <xf numFmtId="0" fontId="7" fillId="0" borderId="2" xfId="0" applyFont="1" applyBorder="1" applyAlignment="1">
      <alignment vertical="center" wrapText="1"/>
    </xf>
    <xf numFmtId="0" fontId="37" fillId="0" borderId="2" xfId="0" applyFont="1" applyBorder="1" applyAlignment="1">
      <alignment vertical="center" wrapText="1"/>
    </xf>
    <xf numFmtId="0" fontId="37" fillId="0" borderId="3" xfId="0" applyFont="1" applyBorder="1"/>
    <xf numFmtId="0" fontId="37" fillId="0" borderId="0" xfId="0" applyFont="1" applyAlignment="1">
      <alignment wrapText="1"/>
    </xf>
    <xf numFmtId="0" fontId="37" fillId="0" borderId="0" xfId="0" applyFont="1" applyAlignment="1">
      <alignment horizontal="left" vertical="center" wrapText="1"/>
    </xf>
    <xf numFmtId="0" fontId="38" fillId="0" borderId="0" xfId="0" applyFont="1" applyAlignment="1">
      <alignment horizontal="center" vertical="center" wrapText="1"/>
    </xf>
    <xf numFmtId="0" fontId="37" fillId="0" borderId="0" xfId="0" applyFont="1" applyAlignment="1">
      <alignment horizontal="center" vertical="center" wrapText="1"/>
    </xf>
    <xf numFmtId="0" fontId="37" fillId="0" borderId="0" xfId="0" applyFont="1" applyAlignment="1">
      <alignment horizontal="left"/>
    </xf>
    <xf numFmtId="0" fontId="38" fillId="0" borderId="0" xfId="0" applyFont="1" applyAlignment="1">
      <alignment vertical="center" wrapText="1"/>
    </xf>
    <xf numFmtId="0" fontId="3" fillId="0" borderId="0" xfId="0" applyFont="1" applyAlignment="1">
      <alignment horizontal="left" vertical="center" wrapText="1"/>
    </xf>
    <xf numFmtId="0" fontId="0" fillId="0" borderId="0" xfId="0"/>
    <xf numFmtId="0" fontId="39" fillId="0" borderId="0" xfId="0" applyFont="1" applyAlignment="1">
      <alignment vertical="center"/>
    </xf>
    <xf numFmtId="0" fontId="40" fillId="0" borderId="0" xfId="0" applyFont="1" applyAlignment="1">
      <alignment horizontal="left" vertical="center" wrapText="1"/>
    </xf>
    <xf numFmtId="0" fontId="40" fillId="0" borderId="0" xfId="0" applyFont="1" applyAlignment="1">
      <alignment horizontal="left" vertical="center"/>
    </xf>
    <xf numFmtId="0" fontId="25" fillId="0" borderId="0" xfId="0" applyFont="1" applyAlignment="1">
      <alignment horizontal="left" vertical="center" wrapText="1"/>
    </xf>
    <xf numFmtId="0" fontId="25" fillId="0" borderId="0" xfId="0" applyFont="1" applyAlignment="1">
      <alignment horizontal="left" vertical="center"/>
    </xf>
    <xf numFmtId="0" fontId="9" fillId="0" borderId="0" xfId="0" applyFont="1" applyAlignment="1">
      <alignment horizontal="left" vertical="top" wrapText="1"/>
    </xf>
  </cellXfs>
  <cellStyles count="2">
    <cellStyle name="Eingabe" xfId="1" builtinId="20"/>
    <cellStyle name="Standard" xfId="0" builtinId="0"/>
  </cellStyles>
  <dxfs count="48">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font>
        <strike val="0"/>
        <outline val="0"/>
        <shadow val="0"/>
        <u val="none"/>
        <vertAlign val="baseline"/>
        <sz val="10"/>
        <color theme="1"/>
        <name val="Calibri"/>
        <family val="2"/>
        <scheme val="minor"/>
      </font>
      <alignment horizontal="general" vertical="center" textRotation="0" indent="0" justifyLastLine="0" shrinkToFit="0" readingOrder="0"/>
    </dxf>
    <dxf>
      <font>
        <b/>
      </font>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alignment horizontal="general" vertical="center" textRotation="0" wrapText="1"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0"/>
        <color theme="1"/>
        <name val="Calibri"/>
        <family val="2"/>
        <scheme val="minor"/>
      </font>
      <alignment vertical="center" textRotation="0" indent="0" justifyLastLine="0" shrinkToFit="0" readingOrder="0"/>
    </dxf>
    <dxf>
      <font>
        <b val="0"/>
        <i val="0"/>
        <strike val="0"/>
        <condense val="0"/>
        <extend val="0"/>
        <outline val="0"/>
        <shadow val="0"/>
        <u val="none"/>
        <vertAlign val="baseline"/>
        <sz val="10"/>
        <color theme="1"/>
        <name val="Arial Unicode MS"/>
        <scheme val="none"/>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alignment horizontal="general" textRotation="0" wrapText="1" indent="0" justifyLastLine="0" shrinkToFit="0" readingOrder="0"/>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font>
        <b val="0"/>
        <i val="0"/>
        <strike val="0"/>
        <condense val="0"/>
        <extend val="0"/>
        <outline val="0"/>
        <shadow val="0"/>
        <u val="none"/>
        <vertAlign val="baseline"/>
        <sz val="14"/>
        <color theme="1"/>
        <name val="Calibri"/>
        <family val="2"/>
        <scheme val="minor"/>
      </font>
    </dxf>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9" defaultPivotStyle="PivotStyleLight16"/>
  <colors>
    <mruColors>
      <color rgb="FFFFCCFF"/>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eetMetadata" Target="metadata.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17/06/relationships/rdRichValueStructure" Target="richData/rdrichvaluestructur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microsoft.com/office/2022/10/relationships/richValueRel" Target="richData/richValueRel.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Types" Target="richData/rdRichValueTyp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1ACFC68-C83C-48A3-970A-50F6B9596CFA}" name="Table17" displayName="Table17" ref="A3:C8" totalsRowShown="0">
  <autoFilter ref="A3:C8" xr:uid="{A1ACFC68-C83C-48A3-970A-50F6B9596CFA}"/>
  <tableColumns count="3">
    <tableColumn id="1" xr3:uid="{FFE551B0-1D88-46C6-8AD8-3D2434CC9ED6}" name="EntryAgent"/>
    <tableColumn id="2" xr3:uid="{748EAA1B-88B3-4C90-B956-85DB52AB386F}" name="Aspect" dataDxfId="23"/>
    <tableColumn id="3" xr3:uid="{16E3AE5D-0B35-4EED-9F9B-27F39CA21709}" name="Description" dataDxfId="2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B18037F-B592-406A-9558-62243A31BB00}" name="Table18" displayName="Table18" ref="A10:C15" totalsRowShown="0">
  <autoFilter ref="A10:C15" xr:uid="{1B18037F-B592-406A-9558-62243A31BB00}"/>
  <tableColumns count="3">
    <tableColumn id="1" xr3:uid="{D235A567-C776-4BA3-9F9A-00F380CA8B2C}" name="ConversationAgent"/>
    <tableColumn id="2" xr3:uid="{1545509E-C6F7-4EC2-9068-8648847CF5CA}" name="Aspect" dataDxfId="21"/>
    <tableColumn id="3" xr3:uid="{6848ED1B-5F21-4CEB-A723-495080C7C7B4}" name="Description" dataDxfId="20"/>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E4432FC-FE1C-4472-B7C4-DE182A2EB522}" name="Table19" displayName="Table19" ref="A17:C22" totalsRowShown="0">
  <autoFilter ref="A17:C22" xr:uid="{4E4432FC-FE1C-4472-B7C4-DE182A2EB522}"/>
  <tableColumns count="3">
    <tableColumn id="1" xr3:uid="{50019C71-1295-401B-9AEC-F42A14107D76}" name="CaseAgent (Core)"/>
    <tableColumn id="2" xr3:uid="{AD4593FC-6163-478E-82BA-534CBD7B443A}" name="Aspect" dataDxfId="19"/>
    <tableColumn id="3" xr3:uid="{3C96C617-417F-4BE4-8C51-D86677D28F4B}" name="Description" dataDxfId="1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D7F31C1-B624-4EC7-8591-BE7192A63E87}" name="Table20" displayName="Table20" ref="A24:C28" totalsRowShown="0">
  <autoFilter ref="A24:C28" xr:uid="{DD7F31C1-B624-4EC7-8591-BE7192A63E87}"/>
  <tableColumns count="3">
    <tableColumn id="1" xr3:uid="{2C282656-3C18-40B3-8844-39C73EE0C494}" name="EvidenceAgent"/>
    <tableColumn id="2" xr3:uid="{94BF9340-7974-4B1E-99DE-06D840F9764A}" name="Aspect" dataDxfId="17"/>
    <tableColumn id="3" xr3:uid="{A6089D49-0E27-4FD6-AC84-91B510B22DE7}" name="Description" dataDxfId="16"/>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94579E9-C8D0-4E81-82FC-09121F9EBCC7}" name="Table21" displayName="Table21" ref="A30:C34" totalsRowShown="0">
  <autoFilter ref="A30:C34" xr:uid="{A94579E9-C8D0-4E81-82FC-09121F9EBCC7}"/>
  <tableColumns count="3">
    <tableColumn id="1" xr3:uid="{667E1303-E6EF-4EED-B3D7-4146437E8953}" name="KnowledgeAgent"/>
    <tableColumn id="2" xr3:uid="{3A06DF36-10D3-450A-8831-86C9FAB6119C}" name="Aspect" dataDxfId="15"/>
    <tableColumn id="3" xr3:uid="{4127D50F-C88B-4EBC-BDF5-F90D7C9762E4}" name="Description" dataDxfId="14"/>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9A6C0F1-6CB9-48E3-9ADD-33AEB7D23643}" name="Table22" displayName="Table22" ref="A36:C41" totalsRowShown="0">
  <autoFilter ref="A36:C41" xr:uid="{F9A6C0F1-6CB9-48E3-9ADD-33AEB7D23643}"/>
  <tableColumns count="3">
    <tableColumn id="1" xr3:uid="{6E86C8D0-ADB0-4F2A-9E9A-08C94D66CFA0}" name="StrategyAgent"/>
    <tableColumn id="2" xr3:uid="{6BAA7D40-80BB-4692-BC6C-3F0F6AE65F98}" name="Aspect" dataDxfId="13"/>
    <tableColumn id="3" xr3:uid="{026415EE-D3B8-4F8A-87F3-6B0B0BEE4A20}" name="Description" dataDxfId="12"/>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B9F00B-CC4A-43EF-930B-3CD269EE32CD}" name="Table225" displayName="Table225" ref="A42:C47" totalsRowShown="0">
  <autoFilter ref="A42:C47" xr:uid="{CDB9F00B-CC4A-43EF-930B-3CD269EE32CD}"/>
  <tableColumns count="3">
    <tableColumn id="1" xr3:uid="{943733C4-819D-4B57-B884-D19B3A041BE8}" name="Performance &amp; KPI Agent"/>
    <tableColumn id="2" xr3:uid="{65213CFD-1959-416C-944F-45C204AFC69D}" name="Aspect" dataDxfId="6"/>
    <tableColumn id="3" xr3:uid="{6546E676-44D3-4FA0-A334-5F92C51F063D}" name="Description" dataDxfId="5"/>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129956-9FC6-43F5-B7FA-E228194593EF}" name="Tabelle5" displayName="Tabelle5" ref="A51:D62" totalsRowShown="0" dataDxfId="0">
  <autoFilter ref="A51:D62" xr:uid="{8B129956-9FC6-43F5-B7FA-E228194593EF}"/>
  <tableColumns count="4">
    <tableColumn id="1" xr3:uid="{849B8FAA-340E-4A3C-BF3F-F567C02332CE}" name="What each node Does" dataDxfId="4"/>
    <tableColumn id="2" xr3:uid="{B761213B-BD68-45D5-B344-8666C62B1323}" name="Definition" dataDxfId="3"/>
    <tableColumn id="3" xr3:uid="{289D553A-D975-477F-BC72-BC4C75D33BE4}" name="Output" dataDxfId="2"/>
    <tableColumn id="4" xr3:uid="{795F73AB-E1E5-4B3D-85A9-AA277369F5F2}" name="Notes" dataDxfId="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EBEE4D-F889-47C3-81F0-5D5F91A52F59}" name="Table2" displayName="Table2" ref="A13:D21" totalsRowShown="0" headerRowDxfId="47" dataDxfId="46">
  <autoFilter ref="A13:D21" xr:uid="{9BEBEE4D-F889-47C3-81F0-5D5F91A52F59}"/>
  <tableColumns count="4">
    <tableColumn id="1" xr3:uid="{97FB04F3-7951-42EB-953A-DF7E4A0F0F93}" name="CANONICAL" dataDxfId="45"/>
    <tableColumn id="2" xr3:uid="{195FD316-FCB9-45D0-A61E-1AF83FB6AA3D}" name="Domain" dataDxfId="44"/>
    <tableColumn id="3" xr3:uid="{B6F7FA34-2884-42AA-9B5F-65B4B555A420}" name="Details" dataDxfId="43"/>
    <tableColumn id="4" xr3:uid="{26375CC8-9486-4878-BB79-F01316871EA6}" name="Notes" dataDxfId="42"/>
  </tableColumns>
  <tableStyleInfo name="TableStyleMedium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0ECC87-5533-49FB-A42B-3C72FCBAE672}" name="Table3" displayName="Table3" ref="A11:C12" totalsRowShown="0" headerRowDxfId="41" dataDxfId="40">
  <autoFilter ref="A11:C12" xr:uid="{950ECC87-5533-49FB-A42B-3C72FCBAE672}"/>
  <tableColumns count="3">
    <tableColumn id="1" xr3:uid="{69584097-FB6E-4B92-9D3A-045EB5F5707A}" name="LANGRAPH" dataDxfId="39"/>
    <tableColumn id="2" xr3:uid="{D0E0BD8A-CFDE-40BF-BB50-C210B44C7ABF}" name="Nodes" dataDxfId="38"/>
    <tableColumn id="3" xr3:uid="{D41D873C-B3AB-4F39-97F9-6EA1BAB6298B}" name="Notes" dataDxfId="37"/>
  </tableColumns>
  <tableStyleInfo name="TableStyleMedium1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F8CCF6-8E98-4496-8EC8-F882002A624A}" name="Tabelle1" displayName="Tabelle1" ref="A1:M21" totalsRowShown="0">
  <autoFilter ref="A1:M21" xr:uid="{49F8CCF6-8E98-4496-8EC8-F882002A624A}"/>
  <tableColumns count="13">
    <tableColumn id="1" xr3:uid="{1D049FB0-D925-4417-B49B-06FB14A0D12F}" name="Layer"/>
    <tableColumn id="2" xr3:uid="{BDB1A9A6-D1D2-45E5-ACCE-5B34361A10EA}" name="Location"/>
    <tableColumn id="3" xr3:uid="{2229A336-35ED-4FD6-8CEA-5E51C3BE610D}" name="Class"/>
    <tableColumn id="4" xr3:uid="{CDFBE20E-C3F4-4CFC-A94C-2535C890B654}" name="Category"/>
    <tableColumn id="5" xr3:uid="{1D06746B-D618-4CDB-8C17-D583B58FE14B}" name="Name"/>
    <tableColumn id="6" xr3:uid="{9CEA472D-ED05-484F-9874-D1EB38E81C42}" name="Type"/>
    <tableColumn id="7" xr3:uid="{9780B35F-DA1B-480D-800E-EDE13DC7E30D}" name="Responsibility"/>
    <tableColumn id="8" xr3:uid="{37B63FFE-AFFE-4CE4-A1D5-17B27BC3EB1C}" name="Input"/>
    <tableColumn id="9" xr3:uid="{3E3F350C-C8E4-45CC-8C4E-AD8E890EDDE5}" name="Output"/>
    <tableColumn id="10" xr3:uid="{CE679603-B18E-4D6F-9C31-1155CA59AE61}" name="Uses_LLM"/>
    <tableColumn id="11" xr3:uid="{A23131CB-9DFF-4A4D-BDFE-5C96DA2BD355}" name="Uses_Retrieval"/>
    <tableColumn id="12" xr3:uid="{30F0B7A6-72FB-4F8F-925B-311370D89359}" name="Writes_State"/>
    <tableColumn id="13" xr3:uid="{FE98D0F6-855C-469E-A05A-3C7BCDBAF7C4}" name="Description"/>
  </tableColumns>
  <tableStyleInfo name="TableStyleMedium4"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80D8B18-2F16-4D4D-A040-0EF67762A8BA}" name="Table24" displayName="Table24" ref="A1:L1048576" totalsRowShown="0" headerRowDxfId="10" dataDxfId="36">
  <autoFilter ref="A1:L1048576" xr:uid="{E80D8B18-2F16-4D4D-A040-0EF67762A8BA}">
    <filterColumn colId="2">
      <filters>
        <filter val="Method"/>
      </filters>
    </filterColumn>
  </autoFilter>
  <sortState xmlns:xlrd2="http://schemas.microsoft.com/office/spreadsheetml/2017/richdata2" ref="A66:L89">
    <sortCondition ref="B1:B1048576"/>
  </sortState>
  <tableColumns count="12">
    <tableColumn id="1" xr3:uid="{540038EA-6C23-41C5-A6FB-BE45EFBCF54F}" name="Location" dataDxfId="35"/>
    <tableColumn id="2" xr3:uid="{5FAC0E48-BE02-4EBE-A4A1-1000ECCC51E8}" name="Class " dataDxfId="34"/>
    <tableColumn id="3" xr3:uid="{72B977DB-0D9E-4553-8AF8-F515959326CA}" name="Category " dataDxfId="33"/>
    <tableColumn id="4" xr3:uid="{B4CA1EFD-6FAC-4483-AF3C-99AA5F146104}" name="Name" dataDxfId="32"/>
    <tableColumn id="5" xr3:uid="{0C14231A-BDFE-40D9-9C33-5E0A5FA61E5A}" name="Type" dataDxfId="31"/>
    <tableColumn id="11" xr3:uid="{9FDE7A21-9ACF-493E-A065-C940489212C9}" name="Responsibility" dataDxfId="30"/>
    <tableColumn id="9" xr3:uid="{CD85749B-3E6A-47E2-807A-76A59A20B264}" name="Input" dataDxfId="29"/>
    <tableColumn id="10" xr3:uid="{1C3F5580-0252-4572-B027-556AD04422C4}" name="Output" dataDxfId="28"/>
    <tableColumn id="6" xr3:uid="{8FAFA32B-D3F2-4026-A1D3-7ED26221A69C}" name="Required" dataDxfId="27"/>
    <tableColumn id="7" xr3:uid="{DFF6E127-8856-477F-B70D-67715575478C}" name="Description" dataDxfId="26"/>
    <tableColumn id="12" xr3:uid="{6D1585F0-7525-4335-8C92-34D8084FC0BA}" name="File" dataDxfId="25"/>
    <tableColumn id="8" xr3:uid="{A4071F90-E7D5-4AA3-B63F-457A266F84DC}" name="Notes" dataDxfId="24"/>
  </tableColumns>
  <tableStyleInfo name="TableStyleMedium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2C03628-1961-43BC-89EA-D89CD5C246FC}" name="Table23" displayName="Table23" ref="A1:D27" totalsRowShown="0">
  <autoFilter ref="A1:D27" xr:uid="{B2C03628-1961-43BC-89EA-D89CD5C246FC}"/>
  <tableColumns count="4">
    <tableColumn id="1" xr3:uid="{3992577C-276B-4AB6-8569-63F8CA4F0AB9}" name="Directories" dataDxfId="9"/>
    <tableColumn id="2" xr3:uid="{CDEE0CDC-6403-4A3E-B06E-4217F446D076}" name="Class" dataDxfId="7"/>
    <tableColumn id="3" xr3:uid="{38F0452B-2A8A-4299-8AAE-CC7D5D942EE0}" name="Responsibility " dataDxfId="8"/>
    <tableColumn id="4" xr3:uid="{766F9C2B-FCAC-4BCE-A22A-1DA2A02BE4AB}" name="Methods" dataDxfId="11"/>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1.xml"/><Relationship Id="rId1"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5F974-8B27-4F48-840D-346B78B30FA5}">
  <dimension ref="A1:B17"/>
  <sheetViews>
    <sheetView workbookViewId="0">
      <selection activeCell="A24" sqref="A24"/>
    </sheetView>
  </sheetViews>
  <sheetFormatPr baseColWidth="10" defaultRowHeight="15"/>
  <cols>
    <col min="1" max="1" width="46.7109375" bestFit="1" customWidth="1"/>
    <col min="2" max="2" width="32" customWidth="1"/>
  </cols>
  <sheetData>
    <row r="1" spans="1:2">
      <c r="A1" t="s">
        <v>1113</v>
      </c>
    </row>
    <row r="3" spans="1:2">
      <c r="A3" s="4" t="s">
        <v>1114</v>
      </c>
      <c r="B3" s="4" t="s">
        <v>1115</v>
      </c>
    </row>
    <row r="4" spans="1:2">
      <c r="A4" s="5" t="s">
        <v>1116</v>
      </c>
      <c r="B4" s="5" t="s">
        <v>1117</v>
      </c>
    </row>
    <row r="5" spans="1:2">
      <c r="A5" s="5" t="s">
        <v>1118</v>
      </c>
      <c r="B5" s="5" t="s">
        <v>1119</v>
      </c>
    </row>
    <row r="6" spans="1:2">
      <c r="A6" s="5" t="s">
        <v>1120</v>
      </c>
      <c r="B6" s="5" t="s">
        <v>1121</v>
      </c>
    </row>
    <row r="7" spans="1:2">
      <c r="A7" s="5" t="s">
        <v>1122</v>
      </c>
      <c r="B7" s="5" t="s">
        <v>1123</v>
      </c>
    </row>
    <row r="9" spans="1:2">
      <c r="A9" t="s">
        <v>1124</v>
      </c>
    </row>
    <row r="10" spans="1:2">
      <c r="A10" s="18"/>
    </row>
    <row r="11" spans="1:2">
      <c r="A11" s="18" t="s">
        <v>1125</v>
      </c>
    </row>
    <row r="12" spans="1:2">
      <c r="A12" s="18"/>
    </row>
    <row r="13" spans="1:2">
      <c r="A13" s="18" t="s">
        <v>1126</v>
      </c>
    </row>
    <row r="14" spans="1:2">
      <c r="A14" s="18"/>
    </row>
    <row r="15" spans="1:2">
      <c r="A15" s="18" t="s">
        <v>1127</v>
      </c>
    </row>
    <row r="17" spans="1:1">
      <c r="A17" t="s">
        <v>1128</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3731C-BA9C-4EA7-AA49-17DE79550CB0}">
  <dimension ref="A1"/>
  <sheetViews>
    <sheetView workbookViewId="0"/>
  </sheetViews>
  <sheetFormatPr baseColWidth="10" defaultRowHeight="15"/>
  <cols>
    <col min="1" max="1" width="85" customWidth="1"/>
  </cols>
  <sheetData>
    <row r="1" spans="1:1" ht="409.5">
      <c r="A1" s="8" t="s">
        <v>1019</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2E96F-152B-41DA-9ED6-C4DC522764F2}">
  <dimension ref="A1:A26"/>
  <sheetViews>
    <sheetView workbookViewId="0">
      <selection activeCell="A19" sqref="A19"/>
    </sheetView>
  </sheetViews>
  <sheetFormatPr baseColWidth="10" defaultRowHeight="15"/>
  <cols>
    <col min="1" max="1" width="239" customWidth="1"/>
  </cols>
  <sheetData>
    <row r="1" spans="1:1">
      <c r="A1" t="s">
        <v>1000</v>
      </c>
    </row>
    <row r="3" spans="1:1">
      <c r="A3" t="s">
        <v>1001</v>
      </c>
    </row>
    <row r="5" spans="1:1">
      <c r="A5" t="s">
        <v>1002</v>
      </c>
    </row>
    <row r="6" spans="1:1">
      <c r="A6" t="s">
        <v>1003</v>
      </c>
    </row>
    <row r="8" spans="1:1">
      <c r="A8" t="s">
        <v>1004</v>
      </c>
    </row>
    <row r="9" spans="1:1">
      <c r="A9" t="s">
        <v>1005</v>
      </c>
    </row>
    <row r="10" spans="1:1">
      <c r="A10" t="s">
        <v>1006</v>
      </c>
    </row>
    <row r="11" spans="1:1">
      <c r="A11" t="s">
        <v>1007</v>
      </c>
    </row>
    <row r="12" spans="1:1">
      <c r="A12" t="s">
        <v>1008</v>
      </c>
    </row>
    <row r="14" spans="1:1">
      <c r="A14" t="s">
        <v>1009</v>
      </c>
    </row>
    <row r="15" spans="1:1">
      <c r="A15" t="s">
        <v>1010</v>
      </c>
    </row>
    <row r="16" spans="1:1">
      <c r="A16" t="s">
        <v>1011</v>
      </c>
    </row>
    <row r="17" spans="1:1">
      <c r="A17" s="67" t="s">
        <v>1018</v>
      </c>
    </row>
    <row r="19" spans="1:1">
      <c r="A19" t="s">
        <v>1012</v>
      </c>
    </row>
    <row r="20" spans="1:1">
      <c r="A20" t="s">
        <v>1013</v>
      </c>
    </row>
    <row r="23" spans="1:1">
      <c r="A23" t="s">
        <v>1014</v>
      </c>
    </row>
    <row r="24" spans="1:1">
      <c r="A24" t="s">
        <v>1015</v>
      </c>
    </row>
    <row r="25" spans="1:1">
      <c r="A25" t="s">
        <v>1016</v>
      </c>
    </row>
    <row r="26" spans="1:1">
      <c r="A26" t="s">
        <v>1017</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63752-210D-49F3-8F57-B89A55A62659}">
  <dimension ref="A1:I25"/>
  <sheetViews>
    <sheetView topLeftCell="A7" zoomScale="115" zoomScaleNormal="115" workbookViewId="0">
      <pane xSplit="3" topLeftCell="D1" activePane="topRight" state="frozen"/>
      <selection activeCell="A8" sqref="A8"/>
      <selection pane="topRight" activeCell="C12" sqref="C12"/>
    </sheetView>
  </sheetViews>
  <sheetFormatPr baseColWidth="10" defaultColWidth="9.140625" defaultRowHeight="15"/>
  <cols>
    <col min="1" max="1" width="9.140625" style="5"/>
    <col min="2" max="2" width="14.7109375" style="5" customWidth="1"/>
    <col min="3" max="3" width="27.140625" style="5" customWidth="1"/>
    <col min="4" max="4" width="75.7109375" style="5" customWidth="1"/>
    <col min="5" max="5" width="76.140625" style="5" customWidth="1"/>
    <col min="6" max="6" width="25.85546875" style="5" customWidth="1"/>
    <col min="7" max="7" width="21.7109375" style="5" customWidth="1"/>
    <col min="8" max="8" width="56.85546875" style="5" customWidth="1"/>
    <col min="9" max="9" width="83" style="5" customWidth="1"/>
    <col min="10" max="16384" width="9.140625" style="5"/>
  </cols>
  <sheetData>
    <row r="1" spans="1:9" s="60" customFormat="1" ht="27.75" customHeight="1">
      <c r="A1" s="61" t="s">
        <v>950</v>
      </c>
      <c r="B1" s="61" t="s">
        <v>952</v>
      </c>
      <c r="C1" s="61" t="s">
        <v>884</v>
      </c>
      <c r="D1" s="61" t="s">
        <v>905</v>
      </c>
      <c r="E1" s="61" t="s">
        <v>893</v>
      </c>
      <c r="F1" s="61" t="s">
        <v>891</v>
      </c>
      <c r="G1" s="61" t="s">
        <v>892</v>
      </c>
      <c r="H1" s="61" t="s">
        <v>634</v>
      </c>
      <c r="I1" s="60" t="s">
        <v>951</v>
      </c>
    </row>
    <row r="2" spans="1:9" ht="60">
      <c r="A2" s="5">
        <v>1</v>
      </c>
      <c r="B2" s="5" t="s">
        <v>886</v>
      </c>
      <c r="C2" s="5" t="s">
        <v>897</v>
      </c>
      <c r="D2" s="5" t="s">
        <v>906</v>
      </c>
      <c r="E2" s="5" t="s">
        <v>908</v>
      </c>
      <c r="F2" s="5" t="s">
        <v>910</v>
      </c>
      <c r="G2" s="5" t="s">
        <v>618</v>
      </c>
    </row>
    <row r="3" spans="1:9" ht="30">
      <c r="A3" s="5">
        <v>2</v>
      </c>
      <c r="B3" s="5" t="s">
        <v>886</v>
      </c>
      <c r="C3" s="5" t="s">
        <v>897</v>
      </c>
      <c r="D3" s="5" t="s">
        <v>912</v>
      </c>
      <c r="E3" s="5" t="s">
        <v>911</v>
      </c>
      <c r="F3" s="5" t="s">
        <v>910</v>
      </c>
      <c r="G3" s="5" t="s">
        <v>618</v>
      </c>
    </row>
    <row r="4" spans="1:9" ht="30">
      <c r="A4" s="5">
        <v>3</v>
      </c>
      <c r="B4" s="5" t="s">
        <v>886</v>
      </c>
      <c r="C4" s="5" t="s">
        <v>896</v>
      </c>
      <c r="D4" s="5" t="s">
        <v>907</v>
      </c>
      <c r="E4" s="5" t="s">
        <v>909</v>
      </c>
      <c r="F4" s="5" t="s">
        <v>910</v>
      </c>
      <c r="G4" s="5" t="s">
        <v>618</v>
      </c>
    </row>
    <row r="5" spans="1:9" ht="30">
      <c r="A5" s="5">
        <v>4</v>
      </c>
      <c r="B5" s="5" t="s">
        <v>886</v>
      </c>
      <c r="C5" s="5" t="s">
        <v>896</v>
      </c>
      <c r="D5" s="5" t="s">
        <v>913</v>
      </c>
      <c r="E5" s="5" t="s">
        <v>909</v>
      </c>
      <c r="F5" s="5" t="s">
        <v>910</v>
      </c>
      <c r="G5" s="5" t="s">
        <v>618</v>
      </c>
    </row>
    <row r="6" spans="1:9" ht="60">
      <c r="A6" s="5">
        <v>5</v>
      </c>
      <c r="B6" s="5" t="s">
        <v>886</v>
      </c>
      <c r="C6" s="5" t="s">
        <v>895</v>
      </c>
      <c r="D6" s="5" t="s">
        <v>914</v>
      </c>
      <c r="E6" s="5" t="s">
        <v>917</v>
      </c>
      <c r="F6" s="5" t="s">
        <v>910</v>
      </c>
      <c r="G6" s="5" t="s">
        <v>618</v>
      </c>
    </row>
    <row r="7" spans="1:9" ht="45">
      <c r="A7" s="5">
        <v>6</v>
      </c>
      <c r="B7" s="5" t="s">
        <v>886</v>
      </c>
      <c r="C7" s="5" t="s">
        <v>895</v>
      </c>
      <c r="D7" s="5" t="s">
        <v>919</v>
      </c>
      <c r="E7" s="5" t="s">
        <v>920</v>
      </c>
      <c r="F7" s="5" t="s">
        <v>910</v>
      </c>
      <c r="G7" s="5" t="s">
        <v>618</v>
      </c>
      <c r="H7" s="5" t="s">
        <v>918</v>
      </c>
    </row>
    <row r="8" spans="1:9" ht="30">
      <c r="A8" s="5">
        <v>7</v>
      </c>
      <c r="B8" s="5" t="s">
        <v>886</v>
      </c>
      <c r="C8" s="5" t="s">
        <v>895</v>
      </c>
      <c r="D8" s="5" t="s">
        <v>916</v>
      </c>
      <c r="E8" s="5" t="s">
        <v>915</v>
      </c>
      <c r="F8" s="5" t="s">
        <v>910</v>
      </c>
      <c r="G8" s="5" t="s">
        <v>618</v>
      </c>
    </row>
    <row r="9" spans="1:9" ht="30">
      <c r="A9" s="5">
        <v>8</v>
      </c>
      <c r="B9" s="5" t="s">
        <v>885</v>
      </c>
      <c r="C9" s="5" t="s">
        <v>894</v>
      </c>
      <c r="D9" s="5" t="s">
        <v>929</v>
      </c>
      <c r="E9" s="5" t="s">
        <v>921</v>
      </c>
      <c r="F9" s="5" t="s">
        <v>922</v>
      </c>
      <c r="G9" s="5" t="s">
        <v>242</v>
      </c>
      <c r="H9" s="5" t="s">
        <v>923</v>
      </c>
    </row>
    <row r="10" spans="1:9" ht="90">
      <c r="A10" s="5">
        <v>9</v>
      </c>
      <c r="B10" s="5" t="s">
        <v>890</v>
      </c>
      <c r="C10" s="5" t="s">
        <v>898</v>
      </c>
      <c r="D10" s="5" t="s">
        <v>927</v>
      </c>
      <c r="E10" s="5" t="s">
        <v>924</v>
      </c>
      <c r="F10" s="5" t="s">
        <v>925</v>
      </c>
      <c r="G10" s="5" t="s">
        <v>926</v>
      </c>
    </row>
    <row r="11" spans="1:9" ht="75">
      <c r="A11" s="5">
        <v>10</v>
      </c>
      <c r="B11" s="5" t="s">
        <v>885</v>
      </c>
      <c r="C11" s="5" t="s">
        <v>899</v>
      </c>
      <c r="D11" s="5" t="s">
        <v>928</v>
      </c>
      <c r="F11" s="5" t="s">
        <v>931</v>
      </c>
      <c r="G11" s="5" t="s">
        <v>249</v>
      </c>
      <c r="H11" s="5" t="s">
        <v>923</v>
      </c>
    </row>
    <row r="12" spans="1:9" ht="60">
      <c r="A12" s="5">
        <v>11</v>
      </c>
      <c r="B12" s="5" t="s">
        <v>885</v>
      </c>
      <c r="C12" s="5" t="s">
        <v>930</v>
      </c>
      <c r="D12" s="5" t="s">
        <v>932</v>
      </c>
      <c r="E12" s="5" t="s">
        <v>933</v>
      </c>
      <c r="F12" s="5" t="s">
        <v>910</v>
      </c>
      <c r="G12" s="5" t="s">
        <v>618</v>
      </c>
      <c r="H12" s="5" t="s">
        <v>918</v>
      </c>
    </row>
    <row r="13" spans="1:9" ht="60">
      <c r="A13" s="5">
        <v>12</v>
      </c>
      <c r="B13" s="5" t="s">
        <v>887</v>
      </c>
      <c r="C13" s="5" t="s">
        <v>900</v>
      </c>
      <c r="D13" s="5" t="s">
        <v>937</v>
      </c>
      <c r="E13" s="5" t="s">
        <v>935</v>
      </c>
      <c r="F13" s="5" t="s">
        <v>925</v>
      </c>
      <c r="G13" s="5" t="s">
        <v>618</v>
      </c>
      <c r="H13" s="5" t="s">
        <v>936</v>
      </c>
    </row>
    <row r="14" spans="1:9" ht="60">
      <c r="A14" s="5">
        <v>13</v>
      </c>
      <c r="B14" s="5" t="s">
        <v>887</v>
      </c>
      <c r="C14" s="5" t="s">
        <v>900</v>
      </c>
      <c r="D14" s="5" t="s">
        <v>938</v>
      </c>
      <c r="E14" s="5" t="s">
        <v>935</v>
      </c>
      <c r="F14" s="5" t="s">
        <v>925</v>
      </c>
      <c r="G14" s="5" t="s">
        <v>618</v>
      </c>
      <c r="H14" s="5" t="s">
        <v>936</v>
      </c>
    </row>
    <row r="15" spans="1:9" ht="45">
      <c r="A15" s="5">
        <v>14</v>
      </c>
      <c r="B15" s="5" t="s">
        <v>887</v>
      </c>
      <c r="C15" s="5" t="s">
        <v>901</v>
      </c>
      <c r="D15" s="5" t="s">
        <v>934</v>
      </c>
      <c r="E15" s="5" t="s">
        <v>935</v>
      </c>
      <c r="F15" s="5" t="s">
        <v>925</v>
      </c>
      <c r="G15" s="5" t="s">
        <v>618</v>
      </c>
      <c r="H15" s="5" t="s">
        <v>936</v>
      </c>
    </row>
    <row r="16" spans="1:9" ht="60">
      <c r="A16" s="5">
        <v>15</v>
      </c>
      <c r="B16" s="5" t="s">
        <v>887</v>
      </c>
      <c r="C16" s="5" t="s">
        <v>901</v>
      </c>
      <c r="D16" s="5" t="s">
        <v>939</v>
      </c>
      <c r="E16" s="5" t="s">
        <v>935</v>
      </c>
      <c r="F16" s="5" t="s">
        <v>925</v>
      </c>
      <c r="G16" s="5" t="s">
        <v>618</v>
      </c>
      <c r="H16" s="5" t="s">
        <v>936</v>
      </c>
    </row>
    <row r="17" spans="1:8" ht="30">
      <c r="A17" s="5">
        <v>16</v>
      </c>
      <c r="B17" s="5" t="s">
        <v>887</v>
      </c>
      <c r="C17" s="5" t="s">
        <v>902</v>
      </c>
      <c r="D17" s="5" t="s">
        <v>940</v>
      </c>
      <c r="E17" s="5" t="s">
        <v>941</v>
      </c>
      <c r="F17" s="5" t="s">
        <v>925</v>
      </c>
      <c r="G17" s="5" t="s">
        <v>618</v>
      </c>
    </row>
    <row r="18" spans="1:8" ht="60">
      <c r="A18" s="5">
        <v>17</v>
      </c>
      <c r="B18" s="5" t="s">
        <v>887</v>
      </c>
      <c r="C18" s="5" t="s">
        <v>902</v>
      </c>
      <c r="D18" s="5" t="s">
        <v>942</v>
      </c>
      <c r="E18" s="5" t="s">
        <v>941</v>
      </c>
      <c r="F18" s="5" t="s">
        <v>925</v>
      </c>
      <c r="G18" s="5" t="s">
        <v>618</v>
      </c>
    </row>
    <row r="19" spans="1:8" ht="75">
      <c r="A19" s="5">
        <v>18</v>
      </c>
      <c r="B19" s="5" t="s">
        <v>887</v>
      </c>
      <c r="C19" s="5" t="s">
        <v>903</v>
      </c>
      <c r="D19" s="5" t="s">
        <v>943</v>
      </c>
      <c r="E19" s="5" t="s">
        <v>944</v>
      </c>
      <c r="F19" s="5" t="s">
        <v>925</v>
      </c>
      <c r="G19" s="5" t="s">
        <v>869</v>
      </c>
    </row>
    <row r="20" spans="1:8" ht="60">
      <c r="A20" s="5">
        <v>19</v>
      </c>
      <c r="B20" s="5" t="s">
        <v>887</v>
      </c>
      <c r="C20" s="5" t="s">
        <v>903</v>
      </c>
      <c r="D20" s="5" t="s">
        <v>948</v>
      </c>
      <c r="F20" s="5" t="s">
        <v>925</v>
      </c>
      <c r="G20" s="5" t="s">
        <v>869</v>
      </c>
    </row>
    <row r="21" spans="1:8" ht="45">
      <c r="A21" s="5">
        <v>20</v>
      </c>
      <c r="B21" s="5" t="s">
        <v>889</v>
      </c>
      <c r="C21" s="5" t="s">
        <v>904</v>
      </c>
      <c r="D21" s="5" t="s">
        <v>945</v>
      </c>
      <c r="E21" s="5" t="s">
        <v>946</v>
      </c>
      <c r="F21" s="5" t="s">
        <v>925</v>
      </c>
      <c r="G21" s="5" t="s">
        <v>869</v>
      </c>
      <c r="H21" s="5" t="s">
        <v>947</v>
      </c>
    </row>
    <row r="22" spans="1:8" ht="60">
      <c r="A22" s="5">
        <v>21</v>
      </c>
      <c r="B22" s="5" t="s">
        <v>889</v>
      </c>
      <c r="C22" s="5" t="s">
        <v>904</v>
      </c>
      <c r="D22" s="5" t="s">
        <v>949</v>
      </c>
      <c r="F22" s="5" t="s">
        <v>925</v>
      </c>
      <c r="G22" s="5" t="s">
        <v>869</v>
      </c>
    </row>
    <row r="23" spans="1:8" ht="30">
      <c r="A23" s="5">
        <v>22</v>
      </c>
      <c r="B23" s="5" t="s">
        <v>955</v>
      </c>
      <c r="C23" s="5" t="s">
        <v>956</v>
      </c>
      <c r="D23" s="5" t="s">
        <v>953</v>
      </c>
      <c r="E23" s="5" t="s">
        <v>954</v>
      </c>
      <c r="F23" s="5" t="s">
        <v>910</v>
      </c>
      <c r="G23" s="5" t="s">
        <v>618</v>
      </c>
    </row>
    <row r="24" spans="1:8" ht="45">
      <c r="A24" s="5">
        <v>23</v>
      </c>
      <c r="B24" s="5" t="s">
        <v>955</v>
      </c>
      <c r="C24" s="5" t="s">
        <v>957</v>
      </c>
      <c r="D24" s="5" t="s">
        <v>958</v>
      </c>
      <c r="E24" s="5" t="s">
        <v>959</v>
      </c>
    </row>
    <row r="25" spans="1:8">
      <c r="A25" s="5">
        <v>24</v>
      </c>
      <c r="B25" s="5" t="s">
        <v>955</v>
      </c>
      <c r="C25" s="5" t="s">
        <v>995</v>
      </c>
      <c r="D25" s="5" t="s">
        <v>996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79CB-8B60-4154-894D-CE79BD0AA61E}">
  <dimension ref="A1:C36"/>
  <sheetViews>
    <sheetView workbookViewId="0">
      <selection activeCell="B3" sqref="B3"/>
    </sheetView>
  </sheetViews>
  <sheetFormatPr baseColWidth="10" defaultColWidth="9.140625" defaultRowHeight="15"/>
  <cols>
    <col min="1" max="1" width="42.7109375" customWidth="1"/>
    <col min="2" max="2" width="8.85546875" bestFit="1" customWidth="1"/>
    <col min="3" max="3" width="82" customWidth="1"/>
  </cols>
  <sheetData>
    <row r="1" spans="1:3" ht="60">
      <c r="A1" s="8" t="s">
        <v>960</v>
      </c>
    </row>
    <row r="2" spans="1:3" ht="75">
      <c r="A2" s="8" t="s">
        <v>961</v>
      </c>
      <c r="C2" s="8"/>
    </row>
    <row r="3" spans="1:3" ht="45">
      <c r="A3" s="8" t="s">
        <v>962</v>
      </c>
      <c r="B3" t="s">
        <v>963</v>
      </c>
      <c r="C3" s="8"/>
    </row>
    <row r="4" spans="1:3">
      <c r="C4" s="8"/>
    </row>
    <row r="5" spans="1:3">
      <c r="C5" s="63"/>
    </row>
    <row r="6" spans="1:3">
      <c r="C6" s="63"/>
    </row>
    <row r="7" spans="1:3">
      <c r="C7" s="18"/>
    </row>
    <row r="8" spans="1:3">
      <c r="C8" s="18"/>
    </row>
    <row r="9" spans="1:3">
      <c r="C9" s="26"/>
    </row>
    <row r="10" spans="1:3">
      <c r="C10" s="26"/>
    </row>
    <row r="11" spans="1:3">
      <c r="C11" s="26"/>
    </row>
    <row r="12" spans="1:3">
      <c r="C12" s="26"/>
    </row>
    <row r="13" spans="1:3">
      <c r="C13" s="26"/>
    </row>
    <row r="14" spans="1:3">
      <c r="C14" s="26"/>
    </row>
    <row r="15" spans="1:3">
      <c r="C15" s="26"/>
    </row>
    <row r="16" spans="1:3">
      <c r="C16" s="26"/>
    </row>
    <row r="17" spans="3:3">
      <c r="C17" s="18"/>
    </row>
    <row r="18" spans="3:3">
      <c r="C18" s="18"/>
    </row>
    <row r="19" spans="3:3">
      <c r="C19" s="18"/>
    </row>
    <row r="20" spans="3:3">
      <c r="C20" s="18"/>
    </row>
    <row r="21" spans="3:3">
      <c r="C21" s="26"/>
    </row>
    <row r="22" spans="3:3">
      <c r="C22" s="26"/>
    </row>
    <row r="23" spans="3:3">
      <c r="C23" s="26"/>
    </row>
    <row r="24" spans="3:3">
      <c r="C24" s="26"/>
    </row>
    <row r="25" spans="3:3">
      <c r="C25" s="18"/>
    </row>
    <row r="26" spans="3:3">
      <c r="C26" s="18"/>
    </row>
    <row r="27" spans="3:3">
      <c r="C27" s="18"/>
    </row>
    <row r="28" spans="3:3">
      <c r="C28" s="18"/>
    </row>
    <row r="29" spans="3:3">
      <c r="C29" s="26"/>
    </row>
    <row r="30" spans="3:3">
      <c r="C30" s="26"/>
    </row>
    <row r="31" spans="3:3">
      <c r="C31" s="26"/>
    </row>
    <row r="32" spans="3:3">
      <c r="C32" s="26"/>
    </row>
    <row r="33" spans="3:3">
      <c r="C33" s="18"/>
    </row>
    <row r="34" spans="3:3">
      <c r="C34" s="18"/>
    </row>
    <row r="35" spans="3:3">
      <c r="C35" s="19"/>
    </row>
    <row r="36" spans="3:3">
      <c r="C36"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C3DC5-851E-4B6D-87F7-B03F308B9059}">
  <sheetPr>
    <tabColor rgb="FFFFC000"/>
  </sheetPr>
  <dimension ref="A1"/>
  <sheetViews>
    <sheetView topLeftCell="A7" workbookViewId="0">
      <selection activeCell="D21" sqref="D21"/>
    </sheetView>
  </sheetViews>
  <sheetFormatPr baseColWidth="10" defaultColWidth="9.140625"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71B92-ECFF-41EB-870F-5A376084FCFB}">
  <sheetPr>
    <tabColor rgb="FFFF0000"/>
  </sheetPr>
  <dimension ref="A1:O71"/>
  <sheetViews>
    <sheetView tabSelected="1" topLeftCell="A53" zoomScale="85" zoomScaleNormal="85" workbookViewId="0">
      <selection activeCell="A65" sqref="A65:C71"/>
    </sheetView>
  </sheetViews>
  <sheetFormatPr baseColWidth="10" defaultColWidth="9.140625" defaultRowHeight="15"/>
  <cols>
    <col min="1" max="1" width="38" customWidth="1"/>
    <col min="2" max="2" width="35.5703125" customWidth="1"/>
    <col min="3" max="3" width="52.7109375" customWidth="1"/>
    <col min="4" max="4" width="41.28515625" customWidth="1"/>
    <col min="6" max="6" width="79.140625" customWidth="1"/>
    <col min="7" max="7" width="87.85546875" customWidth="1"/>
    <col min="8" max="8" width="46" customWidth="1"/>
    <col min="14" max="14" width="77.7109375" customWidth="1"/>
    <col min="15" max="15" width="76.42578125" customWidth="1"/>
  </cols>
  <sheetData>
    <row r="1" spans="1:15" ht="15.75">
      <c r="A1" s="101" t="s">
        <v>259</v>
      </c>
      <c r="B1" s="102"/>
      <c r="C1" s="102"/>
      <c r="F1" t="s">
        <v>1149</v>
      </c>
      <c r="G1" t="s">
        <v>1207</v>
      </c>
      <c r="N1" t="s">
        <v>1150</v>
      </c>
      <c r="O1" t="s">
        <v>1152</v>
      </c>
    </row>
    <row r="2" spans="1:15" ht="31.5">
      <c r="A2" t="s">
        <v>284</v>
      </c>
      <c r="F2" s="129" t="s">
        <v>1199</v>
      </c>
      <c r="G2" s="127" t="s">
        <v>1208</v>
      </c>
      <c r="N2" s="131" t="s">
        <v>1151</v>
      </c>
      <c r="O2" s="126" t="s">
        <v>1153</v>
      </c>
    </row>
    <row r="3" spans="1:15" ht="31.5" customHeight="1">
      <c r="A3" s="2" t="s">
        <v>250</v>
      </c>
      <c r="B3" s="4" t="s">
        <v>0</v>
      </c>
      <c r="C3" s="4" t="s">
        <v>16</v>
      </c>
      <c r="D3" s="103" t="s">
        <v>285</v>
      </c>
      <c r="F3" s="130"/>
      <c r="G3" s="128"/>
      <c r="N3" s="131"/>
    </row>
    <row r="4" spans="1:15">
      <c r="B4" s="5" t="s">
        <v>251</v>
      </c>
      <c r="C4" s="5" t="s">
        <v>252</v>
      </c>
      <c r="D4" s="104"/>
      <c r="F4" s="130"/>
      <c r="G4" s="128"/>
      <c r="N4" s="131"/>
      <c r="O4" t="s">
        <v>1153</v>
      </c>
    </row>
    <row r="5" spans="1:15">
      <c r="B5" s="5" t="s">
        <v>253</v>
      </c>
      <c r="C5" s="5" t="s">
        <v>199</v>
      </c>
      <c r="D5" s="104"/>
      <c r="F5" s="130"/>
      <c r="G5" s="128"/>
      <c r="N5" s="131"/>
      <c r="O5" s="18"/>
    </row>
    <row r="6" spans="1:15">
      <c r="B6" s="5" t="s">
        <v>254</v>
      </c>
      <c r="C6" s="5" t="s">
        <v>255</v>
      </c>
      <c r="D6" s="104"/>
      <c r="F6" s="130"/>
      <c r="G6" s="128"/>
      <c r="N6" s="131"/>
      <c r="O6" s="18" t="s">
        <v>1154</v>
      </c>
    </row>
    <row r="7" spans="1:15">
      <c r="B7" s="5" t="s">
        <v>256</v>
      </c>
      <c r="C7" s="6" t="s">
        <v>199</v>
      </c>
      <c r="D7" s="104"/>
      <c r="F7" s="130"/>
      <c r="G7" s="128"/>
      <c r="N7" s="131"/>
      <c r="O7" s="18"/>
    </row>
    <row r="8" spans="1:15">
      <c r="B8" s="5" t="s">
        <v>257</v>
      </c>
      <c r="C8" s="5" t="s">
        <v>258</v>
      </c>
      <c r="D8" s="104"/>
      <c r="F8" s="130"/>
      <c r="G8" s="128"/>
      <c r="N8" s="131"/>
      <c r="O8" s="18" t="s">
        <v>1155</v>
      </c>
    </row>
    <row r="9" spans="1:15">
      <c r="F9" s="130"/>
      <c r="G9" s="128"/>
      <c r="N9" s="131"/>
      <c r="O9" s="18"/>
    </row>
    <row r="10" spans="1:15" ht="18.75">
      <c r="A10" s="2" t="s">
        <v>260</v>
      </c>
      <c r="B10" s="4" t="s">
        <v>0</v>
      </c>
      <c r="C10" s="4" t="s">
        <v>16</v>
      </c>
      <c r="D10" s="103" t="s">
        <v>286</v>
      </c>
      <c r="F10" s="130"/>
      <c r="G10" s="128"/>
      <c r="N10" s="131"/>
      <c r="O10" s="18" t="s">
        <v>1156</v>
      </c>
    </row>
    <row r="11" spans="1:15">
      <c r="B11" s="5" t="s">
        <v>251</v>
      </c>
      <c r="C11" s="5" t="s">
        <v>261</v>
      </c>
      <c r="D11" s="104"/>
      <c r="F11" s="130"/>
      <c r="G11" s="128"/>
      <c r="N11" s="131"/>
    </row>
    <row r="12" spans="1:15">
      <c r="B12" s="5" t="s">
        <v>253</v>
      </c>
      <c r="C12" s="6" t="s">
        <v>262</v>
      </c>
      <c r="D12" s="104"/>
      <c r="F12" s="130"/>
      <c r="G12" s="128"/>
      <c r="N12" s="131"/>
    </row>
    <row r="13" spans="1:15">
      <c r="B13" s="5" t="s">
        <v>254</v>
      </c>
      <c r="C13" s="6" t="s">
        <v>263</v>
      </c>
      <c r="D13" s="104"/>
      <c r="F13" s="130"/>
      <c r="G13" s="128"/>
      <c r="N13" s="131"/>
    </row>
    <row r="14" spans="1:15" ht="31.5">
      <c r="B14" s="5" t="s">
        <v>256</v>
      </c>
      <c r="C14" s="5" t="s">
        <v>264</v>
      </c>
      <c r="D14" s="104"/>
      <c r="F14" s="130"/>
      <c r="G14" s="128"/>
      <c r="N14" s="131"/>
      <c r="O14" s="126" t="s">
        <v>1157</v>
      </c>
    </row>
    <row r="15" spans="1:15">
      <c r="B15" s="5" t="s">
        <v>257</v>
      </c>
      <c r="C15" s="5" t="s">
        <v>265</v>
      </c>
      <c r="D15" s="104"/>
      <c r="F15" s="130"/>
      <c r="G15" s="128"/>
      <c r="N15" s="131"/>
    </row>
    <row r="16" spans="1:15">
      <c r="F16" s="130"/>
      <c r="G16" s="128"/>
      <c r="N16" s="131"/>
      <c r="O16" t="s">
        <v>1158</v>
      </c>
    </row>
    <row r="17" spans="1:15" ht="18.75">
      <c r="A17" s="14" t="s">
        <v>283</v>
      </c>
      <c r="B17" s="4" t="s">
        <v>0</v>
      </c>
      <c r="C17" s="4" t="s">
        <v>16</v>
      </c>
      <c r="D17" s="103" t="s">
        <v>286</v>
      </c>
      <c r="F17" s="130"/>
      <c r="G17" s="128"/>
      <c r="N17" s="131"/>
      <c r="O17" s="18"/>
    </row>
    <row r="18" spans="1:15">
      <c r="B18" s="5" t="s">
        <v>251</v>
      </c>
      <c r="C18" s="5" t="s">
        <v>266</v>
      </c>
      <c r="D18" s="104"/>
      <c r="F18" s="130"/>
      <c r="G18" s="128"/>
      <c r="N18" s="131"/>
      <c r="O18" s="18" t="s">
        <v>1159</v>
      </c>
    </row>
    <row r="19" spans="1:15">
      <c r="B19" s="5" t="s">
        <v>253</v>
      </c>
      <c r="C19" s="5" t="s">
        <v>267</v>
      </c>
      <c r="D19" s="104"/>
      <c r="F19" s="130"/>
      <c r="G19" s="128"/>
      <c r="N19" s="131"/>
      <c r="O19" s="18"/>
    </row>
    <row r="20" spans="1:15">
      <c r="B20" s="5" t="s">
        <v>254</v>
      </c>
      <c r="C20" s="6" t="s">
        <v>268</v>
      </c>
      <c r="D20" s="104"/>
      <c r="F20" s="130"/>
      <c r="G20" s="128"/>
      <c r="N20" s="131"/>
      <c r="O20" s="18" t="s">
        <v>1160</v>
      </c>
    </row>
    <row r="21" spans="1:15">
      <c r="B21" s="5" t="s">
        <v>256</v>
      </c>
      <c r="C21" s="5" t="s">
        <v>269</v>
      </c>
      <c r="D21" s="104"/>
      <c r="F21" s="130"/>
      <c r="G21" s="128"/>
      <c r="N21" s="131"/>
      <c r="O21" s="18"/>
    </row>
    <row r="22" spans="1:15">
      <c r="B22" s="5" t="s">
        <v>257</v>
      </c>
      <c r="C22" s="5" t="s">
        <v>270</v>
      </c>
      <c r="D22" s="104"/>
      <c r="F22" s="130"/>
      <c r="G22" s="128"/>
      <c r="N22" s="131"/>
      <c r="O22" s="18" t="s">
        <v>1161</v>
      </c>
    </row>
    <row r="23" spans="1:15">
      <c r="F23" s="130"/>
      <c r="G23" s="128"/>
      <c r="N23" s="131"/>
    </row>
    <row r="24" spans="1:15" ht="18.75" customHeight="1">
      <c r="A24" s="2" t="s">
        <v>271</v>
      </c>
      <c r="B24" s="4" t="s">
        <v>0</v>
      </c>
      <c r="C24" s="4" t="s">
        <v>16</v>
      </c>
      <c r="D24" s="99" t="s">
        <v>287</v>
      </c>
      <c r="F24" s="130"/>
      <c r="G24" s="128"/>
      <c r="N24" s="131"/>
      <c r="O24" t="s">
        <v>1162</v>
      </c>
    </row>
    <row r="25" spans="1:15">
      <c r="B25" s="5" t="s">
        <v>251</v>
      </c>
      <c r="C25" s="5" t="s">
        <v>273</v>
      </c>
      <c r="D25" s="99"/>
      <c r="F25" s="130"/>
      <c r="G25" s="128"/>
      <c r="N25" s="131"/>
    </row>
    <row r="26" spans="1:15">
      <c r="B26" s="5" t="s">
        <v>253</v>
      </c>
      <c r="C26" s="5" t="s">
        <v>237</v>
      </c>
      <c r="D26" s="99"/>
      <c r="F26" s="130"/>
      <c r="G26" s="128"/>
      <c r="N26" s="131"/>
    </row>
    <row r="27" spans="1:15">
      <c r="B27" s="5" t="s">
        <v>254</v>
      </c>
      <c r="C27" s="5" t="s">
        <v>274</v>
      </c>
      <c r="D27" s="99"/>
      <c r="F27" s="130"/>
      <c r="G27" s="128"/>
      <c r="N27" s="131"/>
    </row>
    <row r="28" spans="1:15" ht="31.5">
      <c r="B28" s="5" t="s">
        <v>256</v>
      </c>
      <c r="C28" s="5" t="s">
        <v>275</v>
      </c>
      <c r="D28" s="99"/>
      <c r="F28" s="130"/>
      <c r="G28" s="128"/>
      <c r="N28" s="131"/>
      <c r="O28" s="126" t="s">
        <v>1163</v>
      </c>
    </row>
    <row r="29" spans="1:15">
      <c r="D29" s="99"/>
      <c r="F29" s="130"/>
      <c r="G29" s="128"/>
      <c r="N29" s="131"/>
    </row>
    <row r="30" spans="1:15" ht="18.75">
      <c r="A30" s="2" t="s">
        <v>272</v>
      </c>
      <c r="B30" s="4" t="s">
        <v>0</v>
      </c>
      <c r="C30" s="4" t="s">
        <v>16</v>
      </c>
      <c r="D30" s="99"/>
      <c r="F30" s="130"/>
      <c r="G30" s="128"/>
      <c r="N30" s="131"/>
      <c r="O30" t="s">
        <v>1164</v>
      </c>
    </row>
    <row r="31" spans="1:15">
      <c r="B31" s="5" t="s">
        <v>251</v>
      </c>
      <c r="C31" s="5" t="s">
        <v>276</v>
      </c>
      <c r="D31" s="99"/>
      <c r="F31" s="130"/>
      <c r="G31" s="128"/>
      <c r="N31" s="131"/>
      <c r="O31" s="18"/>
    </row>
    <row r="32" spans="1:15">
      <c r="B32" s="5" t="s">
        <v>253</v>
      </c>
      <c r="C32" s="5" t="s">
        <v>248</v>
      </c>
      <c r="D32" s="99"/>
      <c r="F32" s="130"/>
      <c r="G32" s="128"/>
      <c r="N32" s="131"/>
      <c r="O32" s="18" t="s">
        <v>1165</v>
      </c>
    </row>
    <row r="33" spans="1:15">
      <c r="B33" s="5" t="s">
        <v>254</v>
      </c>
      <c r="C33" s="5" t="s">
        <v>255</v>
      </c>
      <c r="D33" s="99"/>
      <c r="F33" s="130"/>
      <c r="G33" s="128"/>
      <c r="N33" s="131"/>
      <c r="O33" s="18"/>
    </row>
    <row r="34" spans="1:15">
      <c r="B34" s="5" t="s">
        <v>256</v>
      </c>
      <c r="C34" s="5" t="s">
        <v>277</v>
      </c>
      <c r="D34" s="99"/>
      <c r="F34" s="130"/>
      <c r="G34" s="128"/>
      <c r="N34" s="131"/>
      <c r="O34" s="18" t="s">
        <v>1139</v>
      </c>
    </row>
    <row r="35" spans="1:15">
      <c r="F35" s="130"/>
      <c r="G35" s="128"/>
      <c r="N35" s="131"/>
      <c r="O35" s="18"/>
    </row>
    <row r="36" spans="1:15" ht="18.75">
      <c r="A36" s="2" t="s">
        <v>278</v>
      </c>
      <c r="B36" s="4" t="s">
        <v>0</v>
      </c>
      <c r="C36" s="4" t="s">
        <v>16</v>
      </c>
      <c r="D36" s="99" t="s">
        <v>288</v>
      </c>
      <c r="F36" s="130"/>
      <c r="G36" s="128"/>
      <c r="N36" s="131"/>
      <c r="O36" s="18" t="s">
        <v>1166</v>
      </c>
    </row>
    <row r="37" spans="1:15">
      <c r="B37" s="5" t="s">
        <v>251</v>
      </c>
      <c r="C37" s="5" t="s">
        <v>116</v>
      </c>
      <c r="D37" s="100"/>
      <c r="F37" s="130"/>
      <c r="G37" s="128"/>
      <c r="N37" s="131"/>
      <c r="O37" s="18"/>
    </row>
    <row r="38" spans="1:15">
      <c r="B38" s="5" t="s">
        <v>253</v>
      </c>
      <c r="C38" s="5" t="s">
        <v>279</v>
      </c>
      <c r="D38" s="100"/>
      <c r="F38" s="130"/>
      <c r="G38" s="128"/>
      <c r="N38" s="131"/>
      <c r="O38" s="18" t="s">
        <v>1167</v>
      </c>
    </row>
    <row r="39" spans="1:15">
      <c r="B39" s="5" t="s">
        <v>254</v>
      </c>
      <c r="C39" s="5" t="s">
        <v>280</v>
      </c>
      <c r="D39" s="100"/>
      <c r="F39" s="130"/>
      <c r="G39" s="128"/>
      <c r="N39" s="131"/>
      <c r="O39" s="18"/>
    </row>
    <row r="40" spans="1:15">
      <c r="B40" s="5" t="s">
        <v>256</v>
      </c>
      <c r="C40" s="5" t="s">
        <v>281</v>
      </c>
      <c r="D40" s="100"/>
      <c r="F40" s="130"/>
      <c r="G40" s="128"/>
      <c r="N40" s="131"/>
      <c r="O40" s="18" t="s">
        <v>1168</v>
      </c>
    </row>
    <row r="41" spans="1:15">
      <c r="B41" s="5" t="s">
        <v>257</v>
      </c>
      <c r="C41" s="5" t="s">
        <v>282</v>
      </c>
      <c r="D41" s="100"/>
      <c r="F41" s="130"/>
      <c r="G41" s="128"/>
      <c r="N41" s="131"/>
      <c r="O41" s="18"/>
    </row>
    <row r="42" spans="1:15" ht="18.75">
      <c r="A42" s="2" t="s">
        <v>1129</v>
      </c>
      <c r="B42" s="4" t="s">
        <v>0</v>
      </c>
      <c r="C42" s="4" t="s">
        <v>16</v>
      </c>
      <c r="D42" s="99" t="s">
        <v>288</v>
      </c>
      <c r="F42" s="130"/>
      <c r="G42" s="128"/>
      <c r="N42" s="131"/>
      <c r="O42" s="18" t="s">
        <v>1169</v>
      </c>
    </row>
    <row r="43" spans="1:15">
      <c r="A43" s="125"/>
      <c r="B43" s="5" t="s">
        <v>251</v>
      </c>
      <c r="C43" s="5" t="s">
        <v>1130</v>
      </c>
      <c r="D43" s="100"/>
      <c r="F43" s="130"/>
      <c r="G43" s="128"/>
      <c r="N43" s="131"/>
      <c r="O43" s="18"/>
    </row>
    <row r="44" spans="1:15">
      <c r="A44" s="125"/>
      <c r="B44" s="5" t="s">
        <v>253</v>
      </c>
      <c r="C44" s="5" t="s">
        <v>279</v>
      </c>
      <c r="D44" s="100"/>
      <c r="F44" s="130"/>
      <c r="G44" s="128"/>
      <c r="N44" s="131"/>
      <c r="O44" s="18" t="s">
        <v>1170</v>
      </c>
    </row>
    <row r="45" spans="1:15">
      <c r="A45" s="125"/>
      <c r="B45" s="5" t="s">
        <v>254</v>
      </c>
      <c r="C45" s="5" t="s">
        <v>888</v>
      </c>
      <c r="D45" s="100"/>
      <c r="F45" s="130"/>
      <c r="G45" s="128"/>
      <c r="N45" s="131"/>
    </row>
    <row r="46" spans="1:15">
      <c r="A46" s="125"/>
      <c r="B46" s="5" t="s">
        <v>256</v>
      </c>
      <c r="C46" s="5" t="s">
        <v>1131</v>
      </c>
      <c r="D46" s="100"/>
      <c r="F46" s="130"/>
      <c r="G46" s="128"/>
      <c r="N46" s="131"/>
      <c r="O46" t="s">
        <v>1171</v>
      </c>
    </row>
    <row r="47" spans="1:15">
      <c r="A47" s="125"/>
      <c r="B47" s="5" t="s">
        <v>257</v>
      </c>
      <c r="C47" s="5" t="s">
        <v>282</v>
      </c>
      <c r="D47" s="100"/>
      <c r="F47" s="130"/>
      <c r="G47" s="128"/>
      <c r="N47" s="131"/>
      <c r="O47" t="s">
        <v>1172</v>
      </c>
    </row>
    <row r="51" spans="1:15" ht="31.5">
      <c r="A51" s="1" t="s">
        <v>1179</v>
      </c>
      <c r="B51" t="s">
        <v>39</v>
      </c>
      <c r="C51" t="s">
        <v>231</v>
      </c>
      <c r="D51" t="s">
        <v>634</v>
      </c>
      <c r="O51" s="126" t="s">
        <v>1173</v>
      </c>
    </row>
    <row r="52" spans="1:15" ht="61.5" customHeight="1">
      <c r="A52" s="21" t="s">
        <v>1180</v>
      </c>
      <c r="B52" s="112" t="s">
        <v>1200</v>
      </c>
      <c r="C52" s="19"/>
      <c r="D52" s="19"/>
    </row>
    <row r="53" spans="1:15" ht="63.75">
      <c r="A53" s="21" t="s">
        <v>1181</v>
      </c>
      <c r="B53" s="112" t="s">
        <v>1182</v>
      </c>
      <c r="C53" s="5" t="s">
        <v>1183</v>
      </c>
      <c r="D53" s="5" t="s">
        <v>1201</v>
      </c>
      <c r="O53" t="s">
        <v>1174</v>
      </c>
    </row>
    <row r="54" spans="1:15" ht="25.5">
      <c r="A54" s="21" t="s">
        <v>1184</v>
      </c>
      <c r="B54" s="112" t="s">
        <v>1202</v>
      </c>
      <c r="C54" s="19"/>
      <c r="D54" s="19"/>
      <c r="O54" s="19"/>
    </row>
    <row r="55" spans="1:15" ht="89.25">
      <c r="A55" s="21" t="s">
        <v>1139</v>
      </c>
      <c r="B55" s="112" t="s">
        <v>1203</v>
      </c>
      <c r="C55" s="19" t="s">
        <v>1185</v>
      </c>
      <c r="D55" s="19"/>
      <c r="O55" s="29" t="s">
        <v>1175</v>
      </c>
    </row>
    <row r="56" spans="1:15" ht="63.75">
      <c r="A56" s="21" t="s">
        <v>1186</v>
      </c>
      <c r="B56" s="112" t="s">
        <v>1187</v>
      </c>
      <c r="C56" s="19" t="s">
        <v>1188</v>
      </c>
      <c r="D56" s="19"/>
    </row>
    <row r="57" spans="1:15" ht="38.25">
      <c r="A57" s="21" t="s">
        <v>1166</v>
      </c>
      <c r="B57" s="112" t="s">
        <v>1204</v>
      </c>
      <c r="C57" s="19"/>
      <c r="D57" s="19"/>
      <c r="O57" t="s">
        <v>1176</v>
      </c>
    </row>
    <row r="58" spans="1:15" ht="25.5">
      <c r="A58" s="21" t="s">
        <v>1189</v>
      </c>
      <c r="B58" s="112" t="s">
        <v>1190</v>
      </c>
      <c r="C58" s="19"/>
      <c r="D58" s="19"/>
      <c r="O58" s="19"/>
    </row>
    <row r="59" spans="1:15" ht="25.5">
      <c r="A59" s="21" t="s">
        <v>1167</v>
      </c>
      <c r="B59" s="112" t="s">
        <v>1191</v>
      </c>
      <c r="C59" s="19"/>
      <c r="D59" s="19"/>
      <c r="O59" s="29" t="s">
        <v>1177</v>
      </c>
    </row>
    <row r="60" spans="1:15" ht="38.25">
      <c r="A60" s="21" t="s">
        <v>1192</v>
      </c>
      <c r="B60" s="112" t="s">
        <v>1193</v>
      </c>
      <c r="C60" s="19"/>
      <c r="D60" s="5" t="s">
        <v>1205</v>
      </c>
    </row>
    <row r="61" spans="1:15" ht="63.75">
      <c r="A61" s="21" t="s">
        <v>1194</v>
      </c>
      <c r="B61" s="112" t="s">
        <v>1195</v>
      </c>
      <c r="C61" s="19" t="s">
        <v>1196</v>
      </c>
      <c r="D61" s="19" t="s">
        <v>1206</v>
      </c>
      <c r="O61" t="s">
        <v>1178</v>
      </c>
    </row>
    <row r="62" spans="1:15" ht="38.25">
      <c r="A62" s="21" t="s">
        <v>1197</v>
      </c>
      <c r="B62" s="112" t="s">
        <v>1198</v>
      </c>
      <c r="C62" s="19"/>
      <c r="D62" s="19"/>
    </row>
    <row r="64" spans="1:15">
      <c r="A64" t="s">
        <v>1209</v>
      </c>
    </row>
    <row r="65" spans="1:3">
      <c r="A65" s="4" t="s">
        <v>1114</v>
      </c>
      <c r="B65" s="4" t="s">
        <v>1210</v>
      </c>
      <c r="C65" s="4" t="s">
        <v>1211</v>
      </c>
    </row>
    <row r="66" spans="1:3">
      <c r="A66" s="5" t="s">
        <v>1212</v>
      </c>
      <c r="B66" s="5" t="s">
        <v>1213</v>
      </c>
      <c r="C66" s="5" t="s">
        <v>1214</v>
      </c>
    </row>
    <row r="67" spans="1:3">
      <c r="A67" s="5" t="s">
        <v>1139</v>
      </c>
      <c r="B67" s="5" t="s">
        <v>1215</v>
      </c>
      <c r="C67" s="5" t="s">
        <v>1216</v>
      </c>
    </row>
    <row r="68" spans="1:3">
      <c r="A68" s="5" t="s">
        <v>1166</v>
      </c>
      <c r="B68" s="5" t="s">
        <v>1217</v>
      </c>
      <c r="C68" s="5" t="s">
        <v>1218</v>
      </c>
    </row>
    <row r="69" spans="1:3">
      <c r="A69" s="5" t="s">
        <v>1167</v>
      </c>
      <c r="B69" s="5" t="s">
        <v>1219</v>
      </c>
      <c r="C69" s="5" t="s">
        <v>1220</v>
      </c>
    </row>
    <row r="70" spans="1:3">
      <c r="A70" s="5" t="s">
        <v>1168</v>
      </c>
      <c r="B70" s="5" t="s">
        <v>1221</v>
      </c>
      <c r="C70" s="5" t="s">
        <v>1222</v>
      </c>
    </row>
    <row r="71" spans="1:3">
      <c r="A71" s="5" t="s">
        <v>1223</v>
      </c>
      <c r="B71" s="5" t="s">
        <v>1224</v>
      </c>
      <c r="C71" s="5" t="s">
        <v>1225</v>
      </c>
    </row>
  </sheetData>
  <mergeCells count="10">
    <mergeCell ref="D42:D47"/>
    <mergeCell ref="F2:F47"/>
    <mergeCell ref="N2:N47"/>
    <mergeCell ref="G2:G47"/>
    <mergeCell ref="D36:D41"/>
    <mergeCell ref="A1:C1"/>
    <mergeCell ref="D3:D8"/>
    <mergeCell ref="D10:D15"/>
    <mergeCell ref="D17:D22"/>
    <mergeCell ref="D24:D34"/>
  </mergeCells>
  <pageMargins left="0.7" right="0.7" top="0.75" bottom="0.75" header="0.3" footer="0.3"/>
  <tableParts count="8">
    <tablePart r:id="rId1"/>
    <tablePart r:id="rId2"/>
    <tablePart r:id="rId3"/>
    <tablePart r:id="rId4"/>
    <tablePart r:id="rId5"/>
    <tablePart r:id="rId6"/>
    <tablePart r:id="rId7"/>
    <tablePart r:id="rId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95BAB-822D-4292-AE0F-397171CDE540}">
  <dimension ref="A1:D34"/>
  <sheetViews>
    <sheetView topLeftCell="A19" zoomScale="115" zoomScaleNormal="115" workbookViewId="0">
      <selection sqref="A1:C34"/>
    </sheetView>
  </sheetViews>
  <sheetFormatPr baseColWidth="10" defaultColWidth="9.140625" defaultRowHeight="15"/>
  <cols>
    <col min="1" max="1" width="26.85546875" customWidth="1"/>
    <col min="2" max="2" width="95.28515625" customWidth="1"/>
    <col min="3" max="3" width="95.28515625" style="8" customWidth="1"/>
    <col min="4" max="4" width="47.28515625" customWidth="1"/>
  </cols>
  <sheetData>
    <row r="1" spans="1:4" ht="15.75">
      <c r="A1" s="84" t="s">
        <v>813</v>
      </c>
      <c r="B1" s="54" t="s">
        <v>814</v>
      </c>
      <c r="C1" s="38" t="s">
        <v>815</v>
      </c>
      <c r="D1" t="s">
        <v>634</v>
      </c>
    </row>
    <row r="2" spans="1:4" ht="16.5" thickBot="1">
      <c r="A2" s="85"/>
      <c r="B2" s="55"/>
      <c r="C2" s="39" t="s">
        <v>816</v>
      </c>
    </row>
    <row r="3" spans="1:4" ht="32.25" thickTop="1">
      <c r="A3" s="86" t="s">
        <v>817</v>
      </c>
      <c r="B3" s="40" t="s">
        <v>818</v>
      </c>
      <c r="C3" s="88"/>
    </row>
    <row r="4" spans="1:4" ht="16.5" thickBot="1">
      <c r="A4" s="87"/>
      <c r="B4" s="41" t="s">
        <v>819</v>
      </c>
      <c r="C4" s="89"/>
    </row>
    <row r="5" spans="1:4" ht="15.75">
      <c r="A5" s="78" t="s">
        <v>820</v>
      </c>
      <c r="B5" s="42" t="s">
        <v>821</v>
      </c>
      <c r="C5" s="42" t="s">
        <v>824</v>
      </c>
    </row>
    <row r="6" spans="1:4" ht="15.75">
      <c r="A6" s="79"/>
      <c r="B6" s="43" t="s">
        <v>822</v>
      </c>
      <c r="C6" s="64" t="s">
        <v>825</v>
      </c>
    </row>
    <row r="7" spans="1:4" ht="15.75">
      <c r="A7" s="79"/>
      <c r="B7" s="43" t="s">
        <v>823</v>
      </c>
      <c r="C7" s="64" t="s">
        <v>826</v>
      </c>
    </row>
    <row r="8" spans="1:4" ht="24" thickBot="1">
      <c r="A8" s="80"/>
      <c r="B8" s="44"/>
      <c r="C8" s="65" t="s">
        <v>827</v>
      </c>
    </row>
    <row r="9" spans="1:4" ht="15.75">
      <c r="A9" s="90" t="s">
        <v>828</v>
      </c>
      <c r="B9" s="45" t="s">
        <v>829</v>
      </c>
      <c r="C9" s="93" t="s">
        <v>833</v>
      </c>
    </row>
    <row r="10" spans="1:4" ht="15.75">
      <c r="A10" s="91"/>
      <c r="B10" s="46" t="s">
        <v>830</v>
      </c>
      <c r="C10" s="94"/>
    </row>
    <row r="11" spans="1:4" ht="15.75">
      <c r="A11" s="91"/>
      <c r="B11" s="46" t="s">
        <v>831</v>
      </c>
      <c r="C11" s="94"/>
    </row>
    <row r="12" spans="1:4" ht="16.5" thickBot="1">
      <c r="A12" s="92"/>
      <c r="B12" s="47" t="s">
        <v>832</v>
      </c>
      <c r="C12" s="95"/>
    </row>
    <row r="13" spans="1:4" ht="24" thickBot="1">
      <c r="A13" s="57" t="s">
        <v>817</v>
      </c>
      <c r="B13" s="48" t="s">
        <v>834</v>
      </c>
      <c r="C13" s="49"/>
    </row>
    <row r="14" spans="1:4" ht="48" thickBot="1">
      <c r="A14" s="56" t="s">
        <v>835</v>
      </c>
      <c r="B14" s="50" t="s">
        <v>836</v>
      </c>
      <c r="C14" s="51"/>
    </row>
    <row r="15" spans="1:4" ht="15.75">
      <c r="A15" s="78" t="s">
        <v>828</v>
      </c>
      <c r="B15" s="42" t="s">
        <v>829</v>
      </c>
      <c r="C15" s="81" t="s">
        <v>833</v>
      </c>
    </row>
    <row r="16" spans="1:4" ht="31.5">
      <c r="A16" s="79"/>
      <c r="B16" s="52" t="s">
        <v>837</v>
      </c>
      <c r="C16" s="82"/>
    </row>
    <row r="17" spans="1:4" ht="16.5" thickBot="1">
      <c r="A17" s="80"/>
      <c r="B17" s="53" t="s">
        <v>838</v>
      </c>
      <c r="C17" s="83"/>
    </row>
    <row r="18" spans="1:4">
      <c r="A18" s="1" t="s">
        <v>839</v>
      </c>
      <c r="B18" t="s">
        <v>840</v>
      </c>
    </row>
    <row r="19" spans="1:4" ht="45">
      <c r="A19" s="58" t="s">
        <v>820</v>
      </c>
      <c r="B19" s="8" t="s">
        <v>841</v>
      </c>
      <c r="D19" t="s">
        <v>842</v>
      </c>
    </row>
    <row r="20" spans="1:4" ht="30">
      <c r="A20" s="58" t="s">
        <v>828</v>
      </c>
      <c r="B20" s="8" t="s">
        <v>843</v>
      </c>
      <c r="C20" s="8" t="s">
        <v>833</v>
      </c>
    </row>
    <row r="21" spans="1:4" ht="15" customHeight="1">
      <c r="A21" t="s">
        <v>817</v>
      </c>
      <c r="B21" t="s">
        <v>844</v>
      </c>
    </row>
    <row r="22" spans="1:4" ht="60">
      <c r="A22" s="58" t="s">
        <v>820</v>
      </c>
      <c r="B22" s="8" t="s">
        <v>845</v>
      </c>
    </row>
    <row r="23" spans="1:4" ht="30">
      <c r="A23" s="58" t="s">
        <v>828</v>
      </c>
      <c r="B23" s="8" t="s">
        <v>843</v>
      </c>
      <c r="C23" s="8" t="s">
        <v>833</v>
      </c>
    </row>
    <row r="25" spans="1:4" ht="45">
      <c r="A25" s="58" t="s">
        <v>964</v>
      </c>
      <c r="B25" s="8" t="s">
        <v>965</v>
      </c>
    </row>
    <row r="26" spans="1:4">
      <c r="A26" s="58" t="s">
        <v>964</v>
      </c>
      <c r="B26" s="8" t="s">
        <v>966</v>
      </c>
    </row>
    <row r="27" spans="1:4" ht="30">
      <c r="A27" s="58" t="s">
        <v>964</v>
      </c>
      <c r="B27" s="8" t="s">
        <v>967</v>
      </c>
    </row>
    <row r="28" spans="1:4" ht="30">
      <c r="A28" s="58" t="s">
        <v>964</v>
      </c>
      <c r="B28" s="8" t="s">
        <v>970</v>
      </c>
      <c r="C28" s="8" t="s">
        <v>971</v>
      </c>
    </row>
    <row r="29" spans="1:4">
      <c r="A29" s="58" t="s">
        <v>964</v>
      </c>
      <c r="B29" s="8" t="s">
        <v>972</v>
      </c>
      <c r="C29" s="8" t="s">
        <v>973</v>
      </c>
    </row>
    <row r="30" spans="1:4">
      <c r="A30" s="58" t="s">
        <v>964</v>
      </c>
      <c r="B30" t="s">
        <v>974</v>
      </c>
    </row>
    <row r="31" spans="1:4">
      <c r="A31" s="58" t="s">
        <v>964</v>
      </c>
      <c r="B31" t="s">
        <v>975</v>
      </c>
    </row>
    <row r="32" spans="1:4">
      <c r="A32" s="58" t="s">
        <v>964</v>
      </c>
      <c r="B32" t="s">
        <v>976</v>
      </c>
    </row>
    <row r="33" spans="1:2">
      <c r="A33" s="58" t="s">
        <v>964</v>
      </c>
      <c r="B33" t="s">
        <v>977</v>
      </c>
    </row>
    <row r="34" spans="1:2" ht="30">
      <c r="A34" t="s">
        <v>968</v>
      </c>
      <c r="B34" s="8" t="s">
        <v>969</v>
      </c>
    </row>
  </sheetData>
  <mergeCells count="8">
    <mergeCell ref="A15:A17"/>
    <mergeCell ref="C15:C17"/>
    <mergeCell ref="A1:A2"/>
    <mergeCell ref="A3:A4"/>
    <mergeCell ref="C3:C4"/>
    <mergeCell ref="A5:A8"/>
    <mergeCell ref="A9:A12"/>
    <mergeCell ref="C9:C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BF40-23C2-4A82-B345-ED5A4E3CFAF1}">
  <dimension ref="A1:H40"/>
  <sheetViews>
    <sheetView topLeftCell="A21" zoomScaleNormal="100" workbookViewId="0">
      <selection activeCell="A34" sqref="A34:A40"/>
    </sheetView>
  </sheetViews>
  <sheetFormatPr baseColWidth="10" defaultColWidth="9.140625" defaultRowHeight="15"/>
  <cols>
    <col min="1" max="1" width="38.5703125" style="19" customWidth="1"/>
    <col min="2" max="2" width="52.5703125" style="19" customWidth="1"/>
    <col min="3" max="3" width="38.5703125" style="19" customWidth="1"/>
    <col min="4" max="4" width="48.140625" customWidth="1"/>
    <col min="5" max="5" width="48.7109375" customWidth="1"/>
    <col min="6" max="6" width="71.5703125" customWidth="1"/>
    <col min="7" max="7" width="59.7109375" customWidth="1"/>
    <col min="8" max="8" width="64.140625" bestFit="1" customWidth="1"/>
  </cols>
  <sheetData>
    <row r="1" spans="1:8" ht="42.75" customHeight="1">
      <c r="A1" s="62" t="s">
        <v>846</v>
      </c>
      <c r="B1" s="62" t="s">
        <v>2</v>
      </c>
      <c r="C1" s="62" t="s">
        <v>866</v>
      </c>
      <c r="D1" s="62" t="s">
        <v>867</v>
      </c>
      <c r="E1" s="62" t="s">
        <v>231</v>
      </c>
      <c r="F1" s="62" t="s">
        <v>817</v>
      </c>
      <c r="G1" s="66" t="s">
        <v>993</v>
      </c>
    </row>
    <row r="2" spans="1:8" ht="120">
      <c r="A2" s="19" t="s">
        <v>847</v>
      </c>
      <c r="B2" s="19" t="s">
        <v>868</v>
      </c>
      <c r="C2" s="5" t="s">
        <v>869</v>
      </c>
      <c r="D2" s="5" t="s">
        <v>870</v>
      </c>
      <c r="E2" s="5" t="s">
        <v>871</v>
      </c>
      <c r="F2" s="5" t="s">
        <v>882</v>
      </c>
      <c r="G2" s="96" t="s">
        <v>994</v>
      </c>
      <c r="H2" s="59" t="s">
        <v>883</v>
      </c>
    </row>
    <row r="3" spans="1:8" ht="75">
      <c r="A3" s="19" t="s">
        <v>848</v>
      </c>
      <c r="B3" s="19" t="s">
        <v>872</v>
      </c>
      <c r="C3" s="5" t="s">
        <v>873</v>
      </c>
      <c r="D3" s="19"/>
      <c r="E3" s="5" t="s">
        <v>874</v>
      </c>
      <c r="F3" s="19"/>
      <c r="G3" s="96"/>
    </row>
    <row r="4" spans="1:8" ht="75">
      <c r="A4" s="19" t="s">
        <v>849</v>
      </c>
      <c r="B4" s="19" t="s">
        <v>875</v>
      </c>
      <c r="D4" s="19"/>
      <c r="E4" s="5" t="s">
        <v>876</v>
      </c>
      <c r="F4" s="19"/>
      <c r="G4" s="96"/>
    </row>
    <row r="5" spans="1:8" ht="75">
      <c r="A5" s="19" t="s">
        <v>849</v>
      </c>
      <c r="B5" s="19" t="s">
        <v>877</v>
      </c>
      <c r="D5" s="19"/>
      <c r="E5" s="5" t="s">
        <v>878</v>
      </c>
      <c r="F5" s="19"/>
      <c r="G5" s="96"/>
    </row>
    <row r="6" spans="1:8" ht="90">
      <c r="A6" s="19" t="s">
        <v>850</v>
      </c>
      <c r="B6" s="19" t="s">
        <v>879</v>
      </c>
      <c r="C6" s="5" t="s">
        <v>880</v>
      </c>
      <c r="D6" s="19"/>
      <c r="E6" s="5" t="s">
        <v>881</v>
      </c>
      <c r="F6" s="19"/>
      <c r="G6" s="96"/>
    </row>
    <row r="7" spans="1:8" ht="105">
      <c r="A7" s="19" t="s">
        <v>851</v>
      </c>
      <c r="B7" s="5" t="s">
        <v>978</v>
      </c>
      <c r="D7" s="19"/>
      <c r="E7" s="19"/>
      <c r="F7" s="19"/>
      <c r="G7" s="96"/>
    </row>
    <row r="8" spans="1:8">
      <c r="D8" s="19"/>
      <c r="E8" s="19"/>
      <c r="F8" s="19"/>
    </row>
    <row r="11" spans="1:8">
      <c r="A11" s="19" t="s">
        <v>864</v>
      </c>
      <c r="B11" s="19" t="s">
        <v>865</v>
      </c>
      <c r="C11" s="19" t="s">
        <v>634</v>
      </c>
    </row>
    <row r="12" spans="1:8" ht="180">
      <c r="A12" s="19" t="s">
        <v>852</v>
      </c>
      <c r="B12" s="5" t="s">
        <v>979</v>
      </c>
    </row>
    <row r="13" spans="1:8">
      <c r="A13" s="19" t="s">
        <v>857</v>
      </c>
      <c r="B13" s="5" t="s">
        <v>863</v>
      </c>
      <c r="C13" s="19" t="s">
        <v>1</v>
      </c>
      <c r="D13" s="19" t="s">
        <v>634</v>
      </c>
    </row>
    <row r="14" spans="1:8" ht="195">
      <c r="A14" s="19" t="s">
        <v>853</v>
      </c>
      <c r="B14" s="19" t="s">
        <v>856</v>
      </c>
      <c r="C14" s="5" t="s">
        <v>854</v>
      </c>
      <c r="D14" s="19"/>
    </row>
    <row r="15" spans="1:8" ht="120">
      <c r="A15" s="19" t="s">
        <v>855</v>
      </c>
      <c r="B15" s="19" t="s">
        <v>858</v>
      </c>
      <c r="C15" s="5" t="s">
        <v>859</v>
      </c>
      <c r="D15" s="19"/>
    </row>
    <row r="16" spans="1:8" ht="120">
      <c r="A16" s="19" t="s">
        <v>860</v>
      </c>
      <c r="B16" s="19" t="s">
        <v>861</v>
      </c>
      <c r="C16" s="5" t="s">
        <v>862</v>
      </c>
      <c r="D16" s="19"/>
    </row>
    <row r="17" spans="1:4" ht="165">
      <c r="A17" s="19" t="s">
        <v>985</v>
      </c>
      <c r="B17" s="5" t="s">
        <v>980</v>
      </c>
      <c r="C17" s="5" t="s">
        <v>871</v>
      </c>
      <c r="D17" s="5" t="s">
        <v>986</v>
      </c>
    </row>
    <row r="18" spans="1:4" ht="165">
      <c r="A18" s="19" t="s">
        <v>981</v>
      </c>
      <c r="B18" s="5" t="s">
        <v>982</v>
      </c>
      <c r="C18" s="5" t="s">
        <v>874</v>
      </c>
      <c r="D18" s="5" t="s">
        <v>987</v>
      </c>
    </row>
    <row r="19" spans="1:4" ht="90">
      <c r="A19" s="19" t="s">
        <v>888</v>
      </c>
      <c r="B19" s="19" t="s">
        <v>983</v>
      </c>
      <c r="C19" s="5" t="s">
        <v>876</v>
      </c>
      <c r="D19" s="5" t="s">
        <v>988</v>
      </c>
    </row>
    <row r="20" spans="1:4" ht="120">
      <c r="A20" s="19" t="s">
        <v>888</v>
      </c>
      <c r="B20" s="19" t="s">
        <v>984</v>
      </c>
      <c r="C20" s="5" t="s">
        <v>878</v>
      </c>
      <c r="D20" s="5" t="s">
        <v>989</v>
      </c>
    </row>
    <row r="21" spans="1:4" ht="165">
      <c r="A21" s="19" t="s">
        <v>990</v>
      </c>
      <c r="B21" s="19" t="s">
        <v>992</v>
      </c>
      <c r="C21" s="5" t="s">
        <v>881</v>
      </c>
      <c r="D21" s="5" t="s">
        <v>991</v>
      </c>
    </row>
    <row r="23" spans="1:4" ht="31.5">
      <c r="A23" s="126" t="s">
        <v>1132</v>
      </c>
      <c r="B23"/>
      <c r="C23"/>
    </row>
    <row r="24" spans="1:4">
      <c r="A24"/>
      <c r="B24"/>
      <c r="C24"/>
    </row>
    <row r="25" spans="1:4">
      <c r="A25" s="4" t="s">
        <v>1133</v>
      </c>
      <c r="B25" s="4" t="s">
        <v>1134</v>
      </c>
      <c r="C25" s="4" t="s">
        <v>1135</v>
      </c>
      <c r="D25" s="4" t="s">
        <v>1136</v>
      </c>
    </row>
    <row r="26" spans="1:4">
      <c r="A26" s="5" t="s">
        <v>694</v>
      </c>
      <c r="B26" s="5" t="s">
        <v>1137</v>
      </c>
      <c r="C26" s="5" t="s">
        <v>1137</v>
      </c>
      <c r="D26" s="5" t="s">
        <v>1137</v>
      </c>
    </row>
    <row r="27" spans="1:4">
      <c r="A27" s="5" t="s">
        <v>697</v>
      </c>
      <c r="B27" s="5" t="s">
        <v>1137</v>
      </c>
      <c r="C27" s="5" t="s">
        <v>1137</v>
      </c>
      <c r="D27" s="5" t="s">
        <v>1137</v>
      </c>
    </row>
    <row r="28" spans="1:4">
      <c r="A28" s="5" t="s">
        <v>700</v>
      </c>
      <c r="B28" s="5" t="s">
        <v>1137</v>
      </c>
      <c r="C28" s="5" t="s">
        <v>1137</v>
      </c>
      <c r="D28" s="5" t="s">
        <v>1137</v>
      </c>
    </row>
    <row r="29" spans="1:4">
      <c r="A29" s="5" t="s">
        <v>581</v>
      </c>
      <c r="B29" s="5" t="s">
        <v>1138</v>
      </c>
      <c r="C29" s="5" t="s">
        <v>1138</v>
      </c>
      <c r="D29" s="5" t="s">
        <v>1137</v>
      </c>
    </row>
    <row r="30" spans="1:4">
      <c r="A30" s="5" t="s">
        <v>1139</v>
      </c>
      <c r="B30" s="5" t="s">
        <v>1140</v>
      </c>
      <c r="C30" s="5" t="s">
        <v>1138</v>
      </c>
      <c r="D30" s="5" t="s">
        <v>1137</v>
      </c>
    </row>
    <row r="33" spans="1:1">
      <c r="A33" s="19" t="s">
        <v>1141</v>
      </c>
    </row>
    <row r="34" spans="1:1">
      <c r="A34" s="19" t="s">
        <v>1142</v>
      </c>
    </row>
    <row r="35" spans="1:1">
      <c r="A35" s="19" t="s">
        <v>1143</v>
      </c>
    </row>
    <row r="36" spans="1:1">
      <c r="A36" s="19" t="s">
        <v>1144</v>
      </c>
    </row>
    <row r="37" spans="1:1">
      <c r="A37" s="19" t="s">
        <v>1145</v>
      </c>
    </row>
    <row r="38" spans="1:1">
      <c r="A38" s="19" t="s">
        <v>1146</v>
      </c>
    </row>
    <row r="39" spans="1:1">
      <c r="A39" s="19" t="s">
        <v>1147</v>
      </c>
    </row>
    <row r="40" spans="1:1">
      <c r="A40" s="19" t="s">
        <v>1148</v>
      </c>
    </row>
  </sheetData>
  <mergeCells count="1">
    <mergeCell ref="G2:G7"/>
  </mergeCells>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98FF5-4394-493C-8BD4-FD9D2E67E8B4}">
  <dimension ref="A1:E47"/>
  <sheetViews>
    <sheetView workbookViewId="0">
      <selection activeCell="E39" sqref="A1:E39"/>
    </sheetView>
  </sheetViews>
  <sheetFormatPr baseColWidth="10" defaultColWidth="9.140625" defaultRowHeight="15"/>
  <cols>
    <col min="1" max="1" width="71.140625" customWidth="1"/>
    <col min="2" max="2" width="85" customWidth="1"/>
    <col min="3" max="3" width="57.28515625" bestFit="1" customWidth="1"/>
    <col min="4" max="4" width="15.140625" customWidth="1"/>
    <col min="5" max="5" width="19.7109375" customWidth="1"/>
  </cols>
  <sheetData>
    <row r="1" spans="1:5" ht="17.25" customHeight="1">
      <c r="A1" s="9"/>
      <c r="B1" s="20" t="s">
        <v>459</v>
      </c>
      <c r="C1" s="1" t="s">
        <v>736</v>
      </c>
      <c r="D1" s="1" t="s">
        <v>432</v>
      </c>
      <c r="E1" t="s">
        <v>433</v>
      </c>
    </row>
    <row r="2" spans="1:5">
      <c r="C2" t="s">
        <v>14</v>
      </c>
      <c r="D2" t="s">
        <v>738</v>
      </c>
      <c r="E2" t="s">
        <v>794</v>
      </c>
    </row>
    <row r="3" spans="1:5">
      <c r="A3" s="9" t="s">
        <v>443</v>
      </c>
      <c r="B3" t="s">
        <v>460</v>
      </c>
      <c r="C3" t="s">
        <v>229</v>
      </c>
      <c r="D3" t="s">
        <v>738</v>
      </c>
      <c r="E3" t="s">
        <v>795</v>
      </c>
    </row>
    <row r="4" spans="1:5">
      <c r="A4" s="9" t="s">
        <v>444</v>
      </c>
      <c r="B4" s="18"/>
      <c r="D4" t="s">
        <v>437</v>
      </c>
      <c r="E4" t="s">
        <v>526</v>
      </c>
    </row>
    <row r="5" spans="1:5">
      <c r="A5" s="9" t="s">
        <v>445</v>
      </c>
      <c r="B5" s="25" t="s">
        <v>461</v>
      </c>
      <c r="C5" t="s">
        <v>737</v>
      </c>
      <c r="D5" t="s">
        <v>537</v>
      </c>
      <c r="E5" t="s">
        <v>538</v>
      </c>
    </row>
    <row r="6" spans="1:5">
      <c r="A6" s="9" t="s">
        <v>446</v>
      </c>
      <c r="B6" s="26"/>
      <c r="C6" t="s">
        <v>738</v>
      </c>
      <c r="D6" t="s">
        <v>549</v>
      </c>
      <c r="E6" t="s">
        <v>580</v>
      </c>
    </row>
    <row r="7" spans="1:5">
      <c r="A7" s="9" t="s">
        <v>447</v>
      </c>
      <c r="B7" s="26" t="s">
        <v>462</v>
      </c>
      <c r="C7" t="s">
        <v>437</v>
      </c>
      <c r="D7" t="s">
        <v>549</v>
      </c>
      <c r="E7" t="s">
        <v>796</v>
      </c>
    </row>
    <row r="8" spans="1:5">
      <c r="A8" s="9" t="s">
        <v>506</v>
      </c>
      <c r="B8" s="26"/>
      <c r="C8" t="s">
        <v>537</v>
      </c>
      <c r="D8" t="s">
        <v>568</v>
      </c>
      <c r="E8" t="s">
        <v>797</v>
      </c>
    </row>
    <row r="9" spans="1:5">
      <c r="A9" s="9" t="s">
        <v>446</v>
      </c>
      <c r="B9" s="26" t="s">
        <v>463</v>
      </c>
      <c r="C9" t="s">
        <v>549</v>
      </c>
      <c r="D9" t="s">
        <v>576</v>
      </c>
      <c r="E9" s="9" t="s">
        <v>798</v>
      </c>
    </row>
    <row r="10" spans="1:5">
      <c r="A10" s="9" t="s">
        <v>448</v>
      </c>
      <c r="B10" s="26"/>
      <c r="C10" t="s">
        <v>568</v>
      </c>
      <c r="D10" t="s">
        <v>576</v>
      </c>
      <c r="E10" s="9" t="s">
        <v>799</v>
      </c>
    </row>
    <row r="11" spans="1:5">
      <c r="A11" s="9" t="s">
        <v>629</v>
      </c>
      <c r="B11" s="26" t="s">
        <v>464</v>
      </c>
      <c r="C11" t="s">
        <v>576</v>
      </c>
      <c r="D11" t="s">
        <v>576</v>
      </c>
      <c r="E11" s="9" t="s">
        <v>800</v>
      </c>
    </row>
    <row r="12" spans="1:5">
      <c r="A12" s="9" t="s">
        <v>446</v>
      </c>
      <c r="B12" s="26"/>
      <c r="C12" t="s">
        <v>590</v>
      </c>
      <c r="D12" t="s">
        <v>576</v>
      </c>
      <c r="E12" s="9" t="s">
        <v>801</v>
      </c>
    </row>
    <row r="13" spans="1:5">
      <c r="A13" s="9" t="s">
        <v>449</v>
      </c>
      <c r="B13" s="26" t="s">
        <v>465</v>
      </c>
      <c r="C13" t="s">
        <v>601</v>
      </c>
      <c r="D13" t="s">
        <v>576</v>
      </c>
      <c r="E13" s="9" t="s">
        <v>802</v>
      </c>
    </row>
    <row r="14" spans="1:5">
      <c r="A14" s="9" t="s">
        <v>630</v>
      </c>
      <c r="B14" s="26"/>
      <c r="C14" t="s">
        <v>611</v>
      </c>
      <c r="D14" t="s">
        <v>576</v>
      </c>
      <c r="E14" s="30" t="s">
        <v>803</v>
      </c>
    </row>
    <row r="15" spans="1:5">
      <c r="A15" s="9" t="s">
        <v>631</v>
      </c>
      <c r="B15" s="26" t="s">
        <v>466</v>
      </c>
      <c r="C15" t="s">
        <v>635</v>
      </c>
      <c r="D15" t="s">
        <v>576</v>
      </c>
      <c r="E15" s="9" t="s">
        <v>804</v>
      </c>
    </row>
    <row r="16" spans="1:5">
      <c r="A16" s="9" t="s">
        <v>446</v>
      </c>
      <c r="B16" s="26"/>
      <c r="D16" t="s">
        <v>576</v>
      </c>
      <c r="E16" s="9" t="s">
        <v>805</v>
      </c>
    </row>
    <row r="17" spans="1:5">
      <c r="A17" s="9" t="s">
        <v>507</v>
      </c>
      <c r="B17" s="26" t="s">
        <v>467</v>
      </c>
      <c r="D17" t="s">
        <v>576</v>
      </c>
      <c r="E17" s="9" t="s">
        <v>806</v>
      </c>
    </row>
    <row r="18" spans="1:5">
      <c r="A18" s="9" t="s">
        <v>632</v>
      </c>
      <c r="B18" s="26"/>
      <c r="D18" t="s">
        <v>590</v>
      </c>
      <c r="E18" s="9" t="s">
        <v>591</v>
      </c>
    </row>
    <row r="19" spans="1:5">
      <c r="A19" s="9" t="s">
        <v>446</v>
      </c>
      <c r="B19" s="26" t="s">
        <v>468</v>
      </c>
      <c r="D19" t="s">
        <v>601</v>
      </c>
      <c r="E19" s="9" t="s">
        <v>602</v>
      </c>
    </row>
    <row r="20" spans="1:5">
      <c r="A20" s="9" t="s">
        <v>446</v>
      </c>
      <c r="B20" s="26"/>
      <c r="D20" t="s">
        <v>611</v>
      </c>
      <c r="E20" s="9" t="s">
        <v>612</v>
      </c>
    </row>
    <row r="21" spans="1:5">
      <c r="A21" s="9" t="s">
        <v>508</v>
      </c>
      <c r="B21" s="26" t="s">
        <v>469</v>
      </c>
      <c r="D21" t="s">
        <v>611</v>
      </c>
      <c r="E21" s="30" t="s">
        <v>622</v>
      </c>
    </row>
    <row r="22" spans="1:5">
      <c r="A22" s="9" t="s">
        <v>633</v>
      </c>
      <c r="D22" t="s">
        <v>611</v>
      </c>
      <c r="E22" t="s">
        <v>807</v>
      </c>
    </row>
    <row r="23" spans="1:5">
      <c r="A23" s="9" t="s">
        <v>446</v>
      </c>
      <c r="C23" s="4"/>
      <c r="D23" s="4" t="s">
        <v>635</v>
      </c>
      <c r="E23" t="s">
        <v>808</v>
      </c>
    </row>
    <row r="24" spans="1:5">
      <c r="A24" s="9" t="s">
        <v>450</v>
      </c>
      <c r="C24" s="5"/>
      <c r="D24" s="5"/>
      <c r="E24" t="s">
        <v>809</v>
      </c>
    </row>
    <row r="25" spans="1:5">
      <c r="A25" s="9" t="s">
        <v>451</v>
      </c>
      <c r="C25" s="5"/>
      <c r="D25" s="5"/>
      <c r="E25" s="34" t="s">
        <v>725</v>
      </c>
    </row>
    <row r="26" spans="1:5">
      <c r="A26" s="9" t="s">
        <v>446</v>
      </c>
      <c r="C26" s="5"/>
      <c r="D26" s="5"/>
      <c r="E26" s="34" t="s">
        <v>810</v>
      </c>
    </row>
    <row r="27" spans="1:5">
      <c r="A27" s="9" t="s">
        <v>452</v>
      </c>
      <c r="C27" s="5"/>
      <c r="D27" s="5"/>
      <c r="E27" s="34" t="s">
        <v>811</v>
      </c>
    </row>
    <row r="28" spans="1:5">
      <c r="A28" s="9" t="s">
        <v>453</v>
      </c>
      <c r="C28" s="5"/>
      <c r="D28" s="5"/>
    </row>
    <row r="29" spans="1:5">
      <c r="A29" s="30" t="s">
        <v>454</v>
      </c>
      <c r="C29" s="5"/>
      <c r="D29" s="5"/>
    </row>
    <row r="30" spans="1:5">
      <c r="A30" t="s">
        <v>455</v>
      </c>
      <c r="C30" s="5"/>
      <c r="D30" s="5"/>
    </row>
    <row r="31" spans="1:5">
      <c r="A31" t="s">
        <v>446</v>
      </c>
      <c r="C31" s="5"/>
      <c r="D31" s="5"/>
    </row>
    <row r="32" spans="1:5">
      <c r="A32" t="s">
        <v>456</v>
      </c>
      <c r="C32" s="5"/>
      <c r="D32" s="5"/>
    </row>
    <row r="33" spans="1:5">
      <c r="A33" s="33" t="s">
        <v>715</v>
      </c>
      <c r="C33" s="5"/>
      <c r="D33" s="5"/>
    </row>
    <row r="34" spans="1:5">
      <c r="A34" t="s">
        <v>457</v>
      </c>
      <c r="C34" s="5"/>
      <c r="D34" s="5"/>
    </row>
    <row r="35" spans="1:5">
      <c r="A35" t="s">
        <v>458</v>
      </c>
      <c r="C35" s="5"/>
      <c r="D35" s="5"/>
    </row>
    <row r="36" spans="1:5">
      <c r="A36" s="34" t="s">
        <v>1020</v>
      </c>
      <c r="C36" s="5"/>
      <c r="D36" s="5"/>
    </row>
    <row r="37" spans="1:5">
      <c r="A37" s="34" t="s">
        <v>1021</v>
      </c>
    </row>
    <row r="38" spans="1:5">
      <c r="A38" s="34" t="s">
        <v>1022</v>
      </c>
    </row>
    <row r="39" spans="1:5">
      <c r="E39" t="e" cm="1">
        <f t="array" ref="E39">+A2A38A1:E39A1:E39A38A1:E39</f>
        <v>#NAME?</v>
      </c>
    </row>
    <row r="46" spans="1:5">
      <c r="B46" t="s">
        <v>716</v>
      </c>
    </row>
    <row r="47" spans="1:5">
      <c r="B47" t="s">
        <v>716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15EC7-8D94-473F-BED9-91D15426B573}">
  <dimension ref="A1:S26"/>
  <sheetViews>
    <sheetView topLeftCell="H1" workbookViewId="0">
      <selection activeCell="H1" sqref="H1:S14"/>
    </sheetView>
  </sheetViews>
  <sheetFormatPr baseColWidth="10" defaultColWidth="9.140625" defaultRowHeight="15"/>
  <cols>
    <col min="1" max="1" width="12.42578125" bestFit="1" customWidth="1"/>
    <col min="2" max="2" width="24.28515625" bestFit="1" customWidth="1"/>
    <col min="3" max="3" width="25.85546875" bestFit="1" customWidth="1"/>
    <col min="4" max="4" width="20.42578125" bestFit="1" customWidth="1"/>
    <col min="5" max="5" width="92.85546875" bestFit="1" customWidth="1"/>
    <col min="6" max="6" width="11.140625" bestFit="1" customWidth="1"/>
    <col min="7" max="7" width="22.7109375" bestFit="1" customWidth="1"/>
    <col min="8" max="8" width="18" bestFit="1" customWidth="1"/>
    <col min="9" max="9" width="51.7109375" bestFit="1" customWidth="1"/>
    <col min="10" max="10" width="18.85546875" bestFit="1" customWidth="1"/>
    <col min="11" max="11" width="19.42578125" bestFit="1" customWidth="1"/>
    <col min="12" max="12" width="32.7109375" bestFit="1" customWidth="1"/>
    <col min="13" max="13" width="9" bestFit="1" customWidth="1"/>
    <col min="14" max="14" width="15" bestFit="1" customWidth="1"/>
    <col min="15" max="15" width="13.7109375" bestFit="1" customWidth="1"/>
    <col min="16" max="16" width="53.28515625" bestFit="1" customWidth="1"/>
    <col min="17" max="17" width="35.7109375" bestFit="1" customWidth="1"/>
    <col min="18" max="18" width="29.7109375" bestFit="1" customWidth="1"/>
    <col min="19" max="19" width="43.7109375" bestFit="1" customWidth="1"/>
  </cols>
  <sheetData>
    <row r="1" spans="1:19">
      <c r="A1" t="s">
        <v>432</v>
      </c>
      <c r="B1" t="s">
        <v>433</v>
      </c>
      <c r="C1" t="s">
        <v>509</v>
      </c>
      <c r="D1" t="s">
        <v>510</v>
      </c>
      <c r="E1" t="s">
        <v>511</v>
      </c>
      <c r="F1" t="s">
        <v>512</v>
      </c>
      <c r="G1" t="s">
        <v>513</v>
      </c>
      <c r="H1" t="s">
        <v>514</v>
      </c>
      <c r="I1" t="s">
        <v>515</v>
      </c>
      <c r="J1" t="s">
        <v>516</v>
      </c>
      <c r="K1" t="s">
        <v>517</v>
      </c>
      <c r="L1" t="s">
        <v>518</v>
      </c>
      <c r="M1" t="s">
        <v>519</v>
      </c>
      <c r="N1" t="s">
        <v>520</v>
      </c>
      <c r="O1" t="s">
        <v>521</v>
      </c>
      <c r="P1" t="s">
        <v>522</v>
      </c>
      <c r="Q1" t="s">
        <v>523</v>
      </c>
      <c r="R1" t="s">
        <v>524</v>
      </c>
      <c r="S1" t="s">
        <v>525</v>
      </c>
    </row>
    <row r="2" spans="1:19">
      <c r="A2" t="s">
        <v>437</v>
      </c>
      <c r="B2" t="s">
        <v>526</v>
      </c>
      <c r="C2" t="s">
        <v>527</v>
      </c>
      <c r="D2" t="s">
        <v>528</v>
      </c>
      <c r="E2" t="s">
        <v>529</v>
      </c>
      <c r="F2" t="s">
        <v>530</v>
      </c>
      <c r="G2" t="s">
        <v>531</v>
      </c>
      <c r="H2" t="s">
        <v>532</v>
      </c>
      <c r="I2" t="s">
        <v>533</v>
      </c>
      <c r="J2" t="s">
        <v>163</v>
      </c>
      <c r="K2" t="s">
        <v>163</v>
      </c>
      <c r="L2" t="s">
        <v>534</v>
      </c>
      <c r="M2" t="s">
        <v>163</v>
      </c>
      <c r="N2" t="s">
        <v>163</v>
      </c>
      <c r="O2" t="s">
        <v>163</v>
      </c>
      <c r="P2" t="s">
        <v>534</v>
      </c>
      <c r="Q2" t="s">
        <v>255</v>
      </c>
      <c r="R2" t="s">
        <v>535</v>
      </c>
      <c r="S2" t="s">
        <v>536</v>
      </c>
    </row>
    <row r="3" spans="1:19">
      <c r="A3" t="s">
        <v>537</v>
      </c>
      <c r="B3" t="s">
        <v>538</v>
      </c>
      <c r="C3" t="s">
        <v>539</v>
      </c>
      <c r="D3" t="s">
        <v>528</v>
      </c>
      <c r="E3" t="s">
        <v>540</v>
      </c>
      <c r="F3" t="s">
        <v>541</v>
      </c>
      <c r="G3" t="s">
        <v>542</v>
      </c>
      <c r="H3" t="s">
        <v>526</v>
      </c>
      <c r="I3" t="s">
        <v>543</v>
      </c>
      <c r="J3" t="s">
        <v>11</v>
      </c>
      <c r="K3" t="s">
        <v>11</v>
      </c>
      <c r="L3" t="s">
        <v>544</v>
      </c>
      <c r="M3" t="s">
        <v>163</v>
      </c>
      <c r="N3" t="s">
        <v>163</v>
      </c>
      <c r="O3" t="s">
        <v>163</v>
      </c>
      <c r="P3" t="s">
        <v>545</v>
      </c>
      <c r="Q3" t="s">
        <v>546</v>
      </c>
      <c r="R3" t="s">
        <v>547</v>
      </c>
      <c r="S3" t="s">
        <v>548</v>
      </c>
    </row>
    <row r="4" spans="1:19">
      <c r="A4" t="s">
        <v>549</v>
      </c>
      <c r="B4" t="s">
        <v>550</v>
      </c>
      <c r="C4" t="s">
        <v>551</v>
      </c>
      <c r="D4" t="s">
        <v>528</v>
      </c>
      <c r="E4" t="s">
        <v>552</v>
      </c>
      <c r="F4" t="s">
        <v>553</v>
      </c>
      <c r="G4" t="s">
        <v>554</v>
      </c>
      <c r="H4" t="s">
        <v>533</v>
      </c>
      <c r="I4" t="s">
        <v>555</v>
      </c>
      <c r="J4" t="s">
        <v>11</v>
      </c>
      <c r="K4" t="s">
        <v>11</v>
      </c>
      <c r="L4" t="s">
        <v>197</v>
      </c>
      <c r="M4" t="s">
        <v>163</v>
      </c>
      <c r="N4" t="s">
        <v>11</v>
      </c>
      <c r="O4" t="s">
        <v>163</v>
      </c>
      <c r="P4" t="s">
        <v>534</v>
      </c>
      <c r="Q4" t="s">
        <v>556</v>
      </c>
      <c r="R4" t="s">
        <v>557</v>
      </c>
      <c r="S4" t="s">
        <v>558</v>
      </c>
    </row>
    <row r="5" spans="1:19">
      <c r="A5" t="s">
        <v>549</v>
      </c>
      <c r="B5" t="s">
        <v>559</v>
      </c>
      <c r="C5" t="s">
        <v>560</v>
      </c>
      <c r="D5" t="s">
        <v>528</v>
      </c>
      <c r="E5" t="s">
        <v>561</v>
      </c>
      <c r="F5" t="s">
        <v>562</v>
      </c>
      <c r="G5" t="s">
        <v>554</v>
      </c>
      <c r="H5" t="s">
        <v>533</v>
      </c>
      <c r="I5" t="s">
        <v>563</v>
      </c>
      <c r="J5" t="s">
        <v>163</v>
      </c>
      <c r="K5" t="s">
        <v>163</v>
      </c>
      <c r="L5" t="s">
        <v>534</v>
      </c>
      <c r="M5" t="s">
        <v>163</v>
      </c>
      <c r="N5" t="s">
        <v>11</v>
      </c>
      <c r="O5" t="s">
        <v>11</v>
      </c>
      <c r="P5" t="s">
        <v>564</v>
      </c>
      <c r="Q5" t="s">
        <v>565</v>
      </c>
      <c r="R5" t="s">
        <v>566</v>
      </c>
      <c r="S5" t="s">
        <v>567</v>
      </c>
    </row>
    <row r="6" spans="1:19">
      <c r="A6" t="s">
        <v>568</v>
      </c>
      <c r="B6" t="s">
        <v>434</v>
      </c>
      <c r="C6" t="s">
        <v>189</v>
      </c>
      <c r="D6" t="s">
        <v>569</v>
      </c>
      <c r="E6" t="s">
        <v>570</v>
      </c>
      <c r="F6" t="s">
        <v>438</v>
      </c>
      <c r="G6" t="s">
        <v>571</v>
      </c>
      <c r="H6" t="s">
        <v>572</v>
      </c>
      <c r="I6" t="s">
        <v>534</v>
      </c>
      <c r="J6" t="s">
        <v>573</v>
      </c>
      <c r="K6" t="s">
        <v>573</v>
      </c>
      <c r="L6" t="s">
        <v>534</v>
      </c>
      <c r="M6" t="s">
        <v>163</v>
      </c>
      <c r="N6" t="s">
        <v>163</v>
      </c>
      <c r="O6" t="s">
        <v>163</v>
      </c>
      <c r="P6" t="s">
        <v>534</v>
      </c>
      <c r="Q6" t="s">
        <v>255</v>
      </c>
      <c r="R6" t="s">
        <v>574</v>
      </c>
      <c r="S6" t="s">
        <v>575</v>
      </c>
    </row>
    <row r="7" spans="1:19">
      <c r="A7" t="s">
        <v>576</v>
      </c>
      <c r="B7" t="s">
        <v>435</v>
      </c>
      <c r="C7" t="s">
        <v>577</v>
      </c>
      <c r="D7" t="s">
        <v>528</v>
      </c>
      <c r="E7" t="s">
        <v>578</v>
      </c>
      <c r="F7" t="s">
        <v>553</v>
      </c>
      <c r="G7" t="s">
        <v>579</v>
      </c>
      <c r="H7" t="s">
        <v>580</v>
      </c>
      <c r="I7" t="s">
        <v>581</v>
      </c>
      <c r="J7" t="s">
        <v>11</v>
      </c>
      <c r="K7" t="s">
        <v>11</v>
      </c>
      <c r="L7" t="s">
        <v>582</v>
      </c>
      <c r="M7" t="s">
        <v>11</v>
      </c>
      <c r="N7" t="s">
        <v>163</v>
      </c>
      <c r="O7" t="s">
        <v>11</v>
      </c>
      <c r="P7" t="s">
        <v>583</v>
      </c>
      <c r="Q7" t="s">
        <v>584</v>
      </c>
      <c r="R7" t="s">
        <v>585</v>
      </c>
      <c r="S7" t="s">
        <v>586</v>
      </c>
    </row>
    <row r="8" spans="1:19">
      <c r="A8" t="s">
        <v>576</v>
      </c>
      <c r="B8" t="s">
        <v>436</v>
      </c>
      <c r="C8" t="s">
        <v>577</v>
      </c>
      <c r="D8" t="s">
        <v>528</v>
      </c>
      <c r="E8" t="s">
        <v>587</v>
      </c>
      <c r="F8" t="s">
        <v>553</v>
      </c>
      <c r="G8" t="s">
        <v>579</v>
      </c>
      <c r="H8" t="s">
        <v>580</v>
      </c>
      <c r="I8" t="s">
        <v>581</v>
      </c>
      <c r="J8" t="s">
        <v>11</v>
      </c>
      <c r="K8" t="s">
        <v>11</v>
      </c>
      <c r="L8" t="s">
        <v>129</v>
      </c>
      <c r="M8" t="s">
        <v>11</v>
      </c>
      <c r="N8" t="s">
        <v>163</v>
      </c>
      <c r="O8" t="s">
        <v>11</v>
      </c>
      <c r="P8" t="s">
        <v>564</v>
      </c>
      <c r="Q8" t="s">
        <v>584</v>
      </c>
      <c r="R8" t="s">
        <v>588</v>
      </c>
      <c r="S8" t="s">
        <v>589</v>
      </c>
    </row>
    <row r="9" spans="1:19">
      <c r="A9" t="s">
        <v>590</v>
      </c>
      <c r="B9" t="s">
        <v>591</v>
      </c>
      <c r="C9" t="s">
        <v>592</v>
      </c>
      <c r="D9" t="s">
        <v>528</v>
      </c>
      <c r="E9" t="s">
        <v>593</v>
      </c>
      <c r="F9" t="s">
        <v>594</v>
      </c>
      <c r="G9" t="s">
        <v>542</v>
      </c>
      <c r="H9" t="s">
        <v>595</v>
      </c>
      <c r="I9" t="s">
        <v>596</v>
      </c>
      <c r="J9" t="s">
        <v>11</v>
      </c>
      <c r="K9" t="s">
        <v>11</v>
      </c>
      <c r="L9" t="s">
        <v>44</v>
      </c>
      <c r="M9" t="s">
        <v>597</v>
      </c>
      <c r="N9" t="s">
        <v>163</v>
      </c>
      <c r="O9" t="s">
        <v>163</v>
      </c>
      <c r="P9" t="s">
        <v>534</v>
      </c>
      <c r="Q9" t="s">
        <v>598</v>
      </c>
      <c r="R9" t="s">
        <v>599</v>
      </c>
      <c r="S9" t="s">
        <v>600</v>
      </c>
    </row>
    <row r="10" spans="1:19">
      <c r="A10" t="s">
        <v>601</v>
      </c>
      <c r="B10" t="s">
        <v>602</v>
      </c>
      <c r="C10" t="s">
        <v>581</v>
      </c>
      <c r="D10" t="s">
        <v>569</v>
      </c>
      <c r="E10" t="s">
        <v>603</v>
      </c>
      <c r="F10" t="s">
        <v>604</v>
      </c>
      <c r="G10" t="s">
        <v>579</v>
      </c>
      <c r="H10" t="s">
        <v>605</v>
      </c>
      <c r="I10" t="s">
        <v>606</v>
      </c>
      <c r="J10" t="s">
        <v>163</v>
      </c>
      <c r="K10" t="s">
        <v>163</v>
      </c>
      <c r="L10" t="s">
        <v>534</v>
      </c>
      <c r="M10" t="s">
        <v>163</v>
      </c>
      <c r="N10" t="s">
        <v>163</v>
      </c>
      <c r="O10" t="s">
        <v>11</v>
      </c>
      <c r="P10" t="s">
        <v>607</v>
      </c>
      <c r="Q10" t="s">
        <v>608</v>
      </c>
      <c r="R10" t="s">
        <v>609</v>
      </c>
      <c r="S10" t="s">
        <v>610</v>
      </c>
    </row>
    <row r="11" spans="1:19">
      <c r="A11" t="s">
        <v>611</v>
      </c>
      <c r="B11" t="s">
        <v>612</v>
      </c>
      <c r="C11" t="s">
        <v>613</v>
      </c>
      <c r="D11" t="s">
        <v>528</v>
      </c>
      <c r="E11" t="s">
        <v>614</v>
      </c>
      <c r="F11" t="s">
        <v>615</v>
      </c>
      <c r="G11" t="s">
        <v>616</v>
      </c>
      <c r="H11" t="s">
        <v>533</v>
      </c>
      <c r="I11" t="s">
        <v>617</v>
      </c>
      <c r="J11" t="s">
        <v>11</v>
      </c>
      <c r="K11" t="s">
        <v>163</v>
      </c>
      <c r="L11" t="s">
        <v>534</v>
      </c>
      <c r="M11" t="s">
        <v>163</v>
      </c>
      <c r="N11" t="s">
        <v>163</v>
      </c>
      <c r="O11" t="s">
        <v>163</v>
      </c>
      <c r="P11" t="s">
        <v>618</v>
      </c>
      <c r="Q11" t="s">
        <v>619</v>
      </c>
      <c r="R11" t="s">
        <v>620</v>
      </c>
      <c r="S11" t="s">
        <v>621</v>
      </c>
    </row>
    <row r="12" spans="1:19">
      <c r="A12" t="s">
        <v>611</v>
      </c>
      <c r="B12" t="s">
        <v>622</v>
      </c>
      <c r="C12" t="s">
        <v>623</v>
      </c>
      <c r="D12" t="s">
        <v>528</v>
      </c>
      <c r="E12" t="s">
        <v>624</v>
      </c>
      <c r="F12" t="s">
        <v>625</v>
      </c>
      <c r="G12" t="s">
        <v>542</v>
      </c>
      <c r="H12" t="s">
        <v>533</v>
      </c>
      <c r="I12" t="s">
        <v>617</v>
      </c>
      <c r="J12" t="s">
        <v>11</v>
      </c>
      <c r="K12" t="s">
        <v>163</v>
      </c>
      <c r="L12" t="s">
        <v>534</v>
      </c>
      <c r="M12" t="s">
        <v>163</v>
      </c>
      <c r="N12" t="s">
        <v>163</v>
      </c>
      <c r="O12" t="s">
        <v>163</v>
      </c>
      <c r="P12" t="s">
        <v>242</v>
      </c>
      <c r="Q12" t="s">
        <v>626</v>
      </c>
      <c r="R12" t="s">
        <v>627</v>
      </c>
      <c r="S12" t="s">
        <v>628</v>
      </c>
    </row>
    <row r="14" spans="1:19" s="1" customFormat="1"/>
    <row r="15" spans="1:19" s="19" customFormat="1"/>
    <row r="16" spans="1:19">
      <c r="A16" s="19"/>
      <c r="B16" s="19"/>
    </row>
    <row r="17" spans="1:3">
      <c r="A17" s="19"/>
      <c r="B17" s="19"/>
    </row>
    <row r="18" spans="1:3">
      <c r="A18" s="19"/>
      <c r="B18" s="19"/>
    </row>
    <row r="19" spans="1:3">
      <c r="A19" s="19"/>
      <c r="B19" s="19"/>
    </row>
    <row r="20" spans="1:3">
      <c r="A20" s="19"/>
      <c r="B20" s="19"/>
    </row>
    <row r="21" spans="1:3">
      <c r="A21" s="19"/>
      <c r="B21" s="19"/>
    </row>
    <row r="22" spans="1:3">
      <c r="A22" s="19"/>
      <c r="B22" s="19"/>
    </row>
    <row r="23" spans="1:3">
      <c r="A23" s="19"/>
      <c r="B23" s="19"/>
    </row>
    <row r="24" spans="1:3">
      <c r="A24" s="19"/>
      <c r="B24" s="19"/>
    </row>
    <row r="25" spans="1:3">
      <c r="A25" s="19"/>
      <c r="B25" s="19"/>
    </row>
    <row r="26" spans="1:3">
      <c r="A26" s="19"/>
      <c r="B26" s="19"/>
      <c r="C26" s="8"/>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B0BB6-E009-4716-8F6D-F11DDD520607}">
  <sheetPr>
    <tabColor rgb="FFC00000"/>
  </sheetPr>
  <dimension ref="A1"/>
  <sheetViews>
    <sheetView workbookViewId="0">
      <selection activeCell="E2" sqref="E2:E8"/>
    </sheetView>
  </sheetViews>
  <sheetFormatPr baseColWidth="10" defaultColWidth="9.140625"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D61BC-66F3-47E5-861A-3C4291B56301}">
  <dimension ref="A1:M21"/>
  <sheetViews>
    <sheetView workbookViewId="0">
      <selection activeCell="A6" sqref="A6:XFD6"/>
    </sheetView>
  </sheetViews>
  <sheetFormatPr baseColWidth="10" defaultRowHeight="15"/>
  <cols>
    <col min="1" max="1" width="11.7109375" bestFit="1" customWidth="1"/>
    <col min="2" max="2" width="10.7109375" bestFit="1" customWidth="1"/>
    <col min="3" max="3" width="24.7109375" bestFit="1" customWidth="1"/>
    <col min="4" max="4" width="11.28515625" bestFit="1" customWidth="1"/>
    <col min="5" max="5" width="28.140625" bestFit="1" customWidth="1"/>
    <col min="6" max="6" width="15.7109375" bestFit="1" customWidth="1"/>
    <col min="7" max="7" width="47.5703125" bestFit="1" customWidth="1"/>
    <col min="8" max="8" width="18.5703125" bestFit="1" customWidth="1"/>
    <col min="9" max="9" width="34.5703125" bestFit="1" customWidth="1"/>
    <col min="10" max="10" width="12.140625" bestFit="1" customWidth="1"/>
    <col min="11" max="11" width="16.5703125" bestFit="1" customWidth="1"/>
    <col min="12" max="12" width="14.85546875" bestFit="1" customWidth="1"/>
    <col min="13" max="13" width="52.7109375" bestFit="1" customWidth="1"/>
  </cols>
  <sheetData>
    <row r="1" spans="1:13">
      <c r="A1" s="125" t="s">
        <v>1026</v>
      </c>
      <c r="B1" s="125" t="s">
        <v>735</v>
      </c>
      <c r="C1" s="125" t="s">
        <v>569</v>
      </c>
      <c r="D1" s="125" t="s">
        <v>1027</v>
      </c>
      <c r="E1" s="125" t="s">
        <v>734</v>
      </c>
      <c r="F1" s="125" t="s">
        <v>15</v>
      </c>
      <c r="G1" s="125" t="s">
        <v>748</v>
      </c>
      <c r="H1" s="125" t="s">
        <v>230</v>
      </c>
      <c r="I1" s="125" t="s">
        <v>231</v>
      </c>
      <c r="J1" s="125" t="s">
        <v>1028</v>
      </c>
      <c r="K1" s="125" t="s">
        <v>1029</v>
      </c>
      <c r="L1" s="125" t="s">
        <v>12</v>
      </c>
      <c r="M1" s="125" t="s">
        <v>16</v>
      </c>
    </row>
    <row r="2" spans="1:13">
      <c r="A2" s="125" t="s">
        <v>1030</v>
      </c>
      <c r="B2" s="125" t="s">
        <v>437</v>
      </c>
      <c r="C2" s="125" t="s">
        <v>639</v>
      </c>
      <c r="D2" s="125" t="s">
        <v>229</v>
      </c>
      <c r="E2" s="125" t="s">
        <v>1031</v>
      </c>
      <c r="F2" s="125" t="s">
        <v>1032</v>
      </c>
      <c r="G2" s="125" t="s">
        <v>1033</v>
      </c>
      <c r="H2" s="125" t="s">
        <v>750</v>
      </c>
      <c r="I2" s="125" t="s">
        <v>199</v>
      </c>
      <c r="J2" s="125" t="s">
        <v>163</v>
      </c>
      <c r="K2" s="125" t="s">
        <v>163</v>
      </c>
      <c r="L2" s="125" t="s">
        <v>163</v>
      </c>
      <c r="M2" s="125" t="s">
        <v>1034</v>
      </c>
    </row>
    <row r="3" spans="1:13">
      <c r="A3" s="125" t="s">
        <v>1035</v>
      </c>
      <c r="B3" s="125" t="s">
        <v>537</v>
      </c>
      <c r="C3" s="125" t="s">
        <v>533</v>
      </c>
      <c r="D3" s="125" t="s">
        <v>229</v>
      </c>
      <c r="E3" s="125" t="s">
        <v>539</v>
      </c>
      <c r="F3" s="125" t="s">
        <v>1036</v>
      </c>
      <c r="G3" s="125" t="s">
        <v>1037</v>
      </c>
      <c r="H3" s="125" t="s">
        <v>199</v>
      </c>
      <c r="I3" s="125" t="s">
        <v>1038</v>
      </c>
      <c r="J3" s="125" t="s">
        <v>163</v>
      </c>
      <c r="K3" s="125" t="s">
        <v>163</v>
      </c>
      <c r="L3" s="125" t="s">
        <v>163</v>
      </c>
      <c r="M3" s="125" t="s">
        <v>1039</v>
      </c>
    </row>
    <row r="4" spans="1:13">
      <c r="A4" s="125" t="s">
        <v>1040</v>
      </c>
      <c r="B4" s="125" t="s">
        <v>568</v>
      </c>
      <c r="C4" s="125" t="s">
        <v>189</v>
      </c>
      <c r="D4" s="125" t="s">
        <v>569</v>
      </c>
      <c r="E4" s="125" t="s">
        <v>534</v>
      </c>
      <c r="F4" s="125" t="s">
        <v>1041</v>
      </c>
      <c r="G4" s="125" t="s">
        <v>1042</v>
      </c>
      <c r="H4" s="125" t="s">
        <v>1043</v>
      </c>
      <c r="I4" s="125" t="s">
        <v>1044</v>
      </c>
      <c r="J4" s="125" t="s">
        <v>163</v>
      </c>
      <c r="K4" s="125" t="s">
        <v>163</v>
      </c>
      <c r="L4" s="125" t="s">
        <v>11</v>
      </c>
      <c r="M4" s="125" t="s">
        <v>1045</v>
      </c>
    </row>
    <row r="5" spans="1:13">
      <c r="A5" s="125" t="s">
        <v>1040</v>
      </c>
      <c r="B5" s="125" t="s">
        <v>568</v>
      </c>
      <c r="C5" s="125" t="s">
        <v>654</v>
      </c>
      <c r="D5" s="125" t="s">
        <v>569</v>
      </c>
      <c r="E5" s="125" t="s">
        <v>534</v>
      </c>
      <c r="F5" s="125" t="s">
        <v>1041</v>
      </c>
      <c r="G5" s="125" t="s">
        <v>1046</v>
      </c>
      <c r="H5" s="125" t="s">
        <v>1047</v>
      </c>
      <c r="I5" s="125" t="s">
        <v>1048</v>
      </c>
      <c r="J5" s="125" t="s">
        <v>163</v>
      </c>
      <c r="K5" s="125" t="s">
        <v>11</v>
      </c>
      <c r="L5" s="125" t="s">
        <v>163</v>
      </c>
      <c r="M5" s="125" t="s">
        <v>1049</v>
      </c>
    </row>
    <row r="6" spans="1:13">
      <c r="A6" s="125" t="s">
        <v>1040</v>
      </c>
      <c r="B6" s="125" t="s">
        <v>568</v>
      </c>
      <c r="C6" s="125" t="s">
        <v>146</v>
      </c>
      <c r="D6" s="125" t="s">
        <v>1050</v>
      </c>
      <c r="E6" s="125" t="s">
        <v>534</v>
      </c>
      <c r="F6" s="125" t="s">
        <v>1051</v>
      </c>
      <c r="G6" s="125" t="s">
        <v>1052</v>
      </c>
      <c r="H6" s="125" t="s">
        <v>534</v>
      </c>
      <c r="I6" s="125" t="s">
        <v>534</v>
      </c>
      <c r="J6" s="125" t="s">
        <v>163</v>
      </c>
      <c r="K6" s="125" t="s">
        <v>163</v>
      </c>
      <c r="L6" s="125" t="s">
        <v>11</v>
      </c>
      <c r="M6" s="125" t="s">
        <v>1053</v>
      </c>
    </row>
    <row r="7" spans="1:13">
      <c r="A7" s="125" t="s">
        <v>1040</v>
      </c>
      <c r="B7" s="125" t="s">
        <v>568</v>
      </c>
      <c r="C7" s="125" t="s">
        <v>192</v>
      </c>
      <c r="D7" s="125" t="s">
        <v>1050</v>
      </c>
      <c r="E7" s="125" t="s">
        <v>534</v>
      </c>
      <c r="F7" s="125" t="s">
        <v>1054</v>
      </c>
      <c r="G7" s="125" t="s">
        <v>1055</v>
      </c>
      <c r="H7" s="125" t="s">
        <v>534</v>
      </c>
      <c r="I7" s="125" t="s">
        <v>534</v>
      </c>
      <c r="J7" s="125" t="s">
        <v>163</v>
      </c>
      <c r="K7" s="125" t="s">
        <v>163</v>
      </c>
      <c r="L7" s="125" t="s">
        <v>11</v>
      </c>
      <c r="M7" s="125" t="s">
        <v>1056</v>
      </c>
    </row>
    <row r="8" spans="1:13">
      <c r="A8" s="125" t="s">
        <v>1040</v>
      </c>
      <c r="B8" s="125" t="s">
        <v>568</v>
      </c>
      <c r="C8" s="125" t="s">
        <v>177</v>
      </c>
      <c r="D8" s="125" t="s">
        <v>1050</v>
      </c>
      <c r="E8" s="125" t="s">
        <v>534</v>
      </c>
      <c r="F8" s="125" t="s">
        <v>1057</v>
      </c>
      <c r="G8" s="125" t="s">
        <v>1058</v>
      </c>
      <c r="H8" s="125" t="s">
        <v>534</v>
      </c>
      <c r="I8" s="125" t="s">
        <v>534</v>
      </c>
      <c r="J8" s="125" t="s">
        <v>11</v>
      </c>
      <c r="K8" s="125" t="s">
        <v>11</v>
      </c>
      <c r="L8" s="125" t="s">
        <v>11</v>
      </c>
      <c r="M8" s="125" t="s">
        <v>1059</v>
      </c>
    </row>
    <row r="9" spans="1:13">
      <c r="A9" s="125" t="s">
        <v>1060</v>
      </c>
      <c r="B9" s="125" t="s">
        <v>549</v>
      </c>
      <c r="C9" s="125" t="s">
        <v>648</v>
      </c>
      <c r="D9" s="125" t="s">
        <v>569</v>
      </c>
      <c r="E9" s="125" t="s">
        <v>758</v>
      </c>
      <c r="F9" s="125" t="s">
        <v>1061</v>
      </c>
      <c r="G9" s="125" t="s">
        <v>1062</v>
      </c>
      <c r="H9" s="125" t="s">
        <v>1063</v>
      </c>
      <c r="I9" s="125" t="s">
        <v>1064</v>
      </c>
      <c r="J9" s="125" t="s">
        <v>163</v>
      </c>
      <c r="K9" s="125" t="s">
        <v>163</v>
      </c>
      <c r="L9" s="125" t="s">
        <v>163</v>
      </c>
      <c r="M9" s="125" t="s">
        <v>1065</v>
      </c>
    </row>
    <row r="10" spans="1:13">
      <c r="A10" s="125" t="s">
        <v>1060</v>
      </c>
      <c r="B10" s="125" t="s">
        <v>549</v>
      </c>
      <c r="C10" s="125" t="s">
        <v>650</v>
      </c>
      <c r="D10" s="125" t="s">
        <v>569</v>
      </c>
      <c r="E10" s="125" t="s">
        <v>758</v>
      </c>
      <c r="F10" s="125" t="s">
        <v>1061</v>
      </c>
      <c r="G10" s="125" t="s">
        <v>1066</v>
      </c>
      <c r="H10" s="125" t="s">
        <v>654</v>
      </c>
      <c r="I10" s="125" t="s">
        <v>1064</v>
      </c>
      <c r="J10" s="125" t="s">
        <v>163</v>
      </c>
      <c r="K10" s="125" t="s">
        <v>163</v>
      </c>
      <c r="L10" s="125" t="s">
        <v>163</v>
      </c>
      <c r="M10" s="125" t="s">
        <v>1067</v>
      </c>
    </row>
    <row r="11" spans="1:13">
      <c r="A11" s="125" t="s">
        <v>1068</v>
      </c>
      <c r="B11" s="125" t="s">
        <v>576</v>
      </c>
      <c r="C11" s="125" t="s">
        <v>668</v>
      </c>
      <c r="D11" s="125" t="s">
        <v>229</v>
      </c>
      <c r="E11" s="125" t="s">
        <v>773</v>
      </c>
      <c r="F11" s="125" t="s">
        <v>1069</v>
      </c>
      <c r="G11" s="125" t="s">
        <v>1070</v>
      </c>
      <c r="H11" s="125" t="s">
        <v>189</v>
      </c>
      <c r="I11" s="125" t="s">
        <v>212</v>
      </c>
      <c r="J11" s="125" t="s">
        <v>11</v>
      </c>
      <c r="K11" s="125" t="s">
        <v>11</v>
      </c>
      <c r="L11" s="125" t="s">
        <v>11</v>
      </c>
      <c r="M11" s="125" t="s">
        <v>1071</v>
      </c>
    </row>
    <row r="12" spans="1:13">
      <c r="A12" s="125" t="s">
        <v>1068</v>
      </c>
      <c r="B12" s="125" t="s">
        <v>576</v>
      </c>
      <c r="C12" s="125" t="s">
        <v>671</v>
      </c>
      <c r="D12" s="125" t="s">
        <v>229</v>
      </c>
      <c r="E12" s="125" t="s">
        <v>772</v>
      </c>
      <c r="F12" s="125" t="s">
        <v>1069</v>
      </c>
      <c r="G12" s="125" t="s">
        <v>672</v>
      </c>
      <c r="H12" s="125" t="s">
        <v>189</v>
      </c>
      <c r="I12" s="125" t="s">
        <v>1072</v>
      </c>
      <c r="J12" s="125" t="s">
        <v>11</v>
      </c>
      <c r="K12" s="125" t="s">
        <v>11</v>
      </c>
      <c r="L12" s="125" t="s">
        <v>11</v>
      </c>
      <c r="M12" s="125" t="s">
        <v>1073</v>
      </c>
    </row>
    <row r="13" spans="1:13">
      <c r="A13" s="125" t="s">
        <v>1068</v>
      </c>
      <c r="B13" s="125" t="s">
        <v>576</v>
      </c>
      <c r="C13" s="125" t="s">
        <v>680</v>
      </c>
      <c r="D13" s="125" t="s">
        <v>229</v>
      </c>
      <c r="E13" s="125" t="s">
        <v>769</v>
      </c>
      <c r="F13" s="125" t="s">
        <v>1069</v>
      </c>
      <c r="G13" s="125" t="s">
        <v>1074</v>
      </c>
      <c r="H13" s="125" t="s">
        <v>189</v>
      </c>
      <c r="I13" s="125" t="s">
        <v>132</v>
      </c>
      <c r="J13" s="125" t="s">
        <v>11</v>
      </c>
      <c r="K13" s="125" t="s">
        <v>11</v>
      </c>
      <c r="L13" s="125" t="s">
        <v>11</v>
      </c>
      <c r="M13" s="125" t="s">
        <v>1075</v>
      </c>
    </row>
    <row r="14" spans="1:13">
      <c r="A14" s="125" t="s">
        <v>1068</v>
      </c>
      <c r="B14" s="125" t="s">
        <v>576</v>
      </c>
      <c r="C14" s="125" t="s">
        <v>687</v>
      </c>
      <c r="D14" s="125" t="s">
        <v>229</v>
      </c>
      <c r="E14" s="125" t="s">
        <v>767</v>
      </c>
      <c r="F14" s="125" t="s">
        <v>1076</v>
      </c>
      <c r="G14" s="125" t="s">
        <v>1077</v>
      </c>
      <c r="H14" s="125" t="s">
        <v>654</v>
      </c>
      <c r="I14" s="125" t="s">
        <v>1078</v>
      </c>
      <c r="J14" s="125" t="s">
        <v>11</v>
      </c>
      <c r="K14" s="125" t="s">
        <v>11</v>
      </c>
      <c r="L14" s="125" t="s">
        <v>163</v>
      </c>
      <c r="M14" s="125" t="s">
        <v>1079</v>
      </c>
    </row>
    <row r="15" spans="1:13">
      <c r="A15" s="125" t="s">
        <v>1080</v>
      </c>
      <c r="B15" s="125" t="s">
        <v>601</v>
      </c>
      <c r="C15" s="125" t="s">
        <v>581</v>
      </c>
      <c r="D15" s="125" t="s">
        <v>569</v>
      </c>
      <c r="E15" s="125" t="s">
        <v>534</v>
      </c>
      <c r="F15" s="125" t="s">
        <v>1081</v>
      </c>
      <c r="G15" s="125" t="s">
        <v>1082</v>
      </c>
      <c r="H15" s="125" t="s">
        <v>1083</v>
      </c>
      <c r="I15" s="125" t="s">
        <v>1084</v>
      </c>
      <c r="J15" s="125" t="s">
        <v>163</v>
      </c>
      <c r="K15" s="125" t="s">
        <v>11</v>
      </c>
      <c r="L15" s="125" t="s">
        <v>163</v>
      </c>
      <c r="M15" s="125" t="s">
        <v>1085</v>
      </c>
    </row>
    <row r="16" spans="1:13">
      <c r="A16" s="125" t="s">
        <v>1086</v>
      </c>
      <c r="B16" s="125" t="s">
        <v>611</v>
      </c>
      <c r="C16" s="125" t="s">
        <v>694</v>
      </c>
      <c r="D16" s="125" t="s">
        <v>569</v>
      </c>
      <c r="E16" s="125" t="s">
        <v>780</v>
      </c>
      <c r="F16" s="125" t="s">
        <v>1087</v>
      </c>
      <c r="G16" s="125" t="s">
        <v>1088</v>
      </c>
      <c r="H16" s="125" t="s">
        <v>1089</v>
      </c>
      <c r="I16" s="125" t="s">
        <v>1090</v>
      </c>
      <c r="J16" s="125" t="s">
        <v>163</v>
      </c>
      <c r="K16" s="125" t="s">
        <v>11</v>
      </c>
      <c r="L16" s="125" t="s">
        <v>163</v>
      </c>
      <c r="M16" s="125" t="s">
        <v>1091</v>
      </c>
    </row>
    <row r="17" spans="1:13">
      <c r="A17" s="125" t="s">
        <v>1086</v>
      </c>
      <c r="B17" s="125" t="s">
        <v>611</v>
      </c>
      <c r="C17" s="125" t="s">
        <v>697</v>
      </c>
      <c r="D17" s="125" t="s">
        <v>569</v>
      </c>
      <c r="E17" s="125" t="s">
        <v>623</v>
      </c>
      <c r="F17" s="125" t="s">
        <v>1087</v>
      </c>
      <c r="G17" s="125" t="s">
        <v>1092</v>
      </c>
      <c r="H17" s="125" t="s">
        <v>1093</v>
      </c>
      <c r="I17" s="125" t="s">
        <v>1094</v>
      </c>
      <c r="J17" s="125" t="s">
        <v>163</v>
      </c>
      <c r="K17" s="125" t="s">
        <v>11</v>
      </c>
      <c r="L17" s="125" t="s">
        <v>163</v>
      </c>
      <c r="M17" s="125" t="s">
        <v>628</v>
      </c>
    </row>
    <row r="18" spans="1:13">
      <c r="A18" s="125" t="s">
        <v>1086</v>
      </c>
      <c r="B18" s="125" t="s">
        <v>611</v>
      </c>
      <c r="C18" s="125" t="s">
        <v>700</v>
      </c>
      <c r="D18" s="125" t="s">
        <v>569</v>
      </c>
      <c r="E18" s="125" t="s">
        <v>784</v>
      </c>
      <c r="F18" s="125" t="s">
        <v>1087</v>
      </c>
      <c r="G18" s="125" t="s">
        <v>1095</v>
      </c>
      <c r="H18" s="125" t="s">
        <v>1096</v>
      </c>
      <c r="I18" s="125" t="s">
        <v>1097</v>
      </c>
      <c r="J18" s="125" t="s">
        <v>163</v>
      </c>
      <c r="K18" s="125" t="s">
        <v>11</v>
      </c>
      <c r="L18" s="125" t="s">
        <v>163</v>
      </c>
      <c r="M18" s="125" t="s">
        <v>1098</v>
      </c>
    </row>
    <row r="19" spans="1:13">
      <c r="A19" s="125" t="s">
        <v>1099</v>
      </c>
      <c r="B19" s="125" t="s">
        <v>635</v>
      </c>
      <c r="C19" s="125" t="s">
        <v>731</v>
      </c>
      <c r="D19" s="125" t="s">
        <v>569</v>
      </c>
      <c r="E19" s="125" t="s">
        <v>787</v>
      </c>
      <c r="F19" s="125" t="s">
        <v>1100</v>
      </c>
      <c r="G19" s="125" t="s">
        <v>1101</v>
      </c>
      <c r="H19" s="125" t="s">
        <v>1102</v>
      </c>
      <c r="I19" s="125" t="s">
        <v>1103</v>
      </c>
      <c r="J19" s="125" t="s">
        <v>163</v>
      </c>
      <c r="K19" s="125" t="s">
        <v>11</v>
      </c>
      <c r="L19" s="125" t="s">
        <v>163</v>
      </c>
      <c r="M19" s="125" t="s">
        <v>1104</v>
      </c>
    </row>
    <row r="20" spans="1:13">
      <c r="A20" s="125" t="s">
        <v>1099</v>
      </c>
      <c r="B20" s="125" t="s">
        <v>635</v>
      </c>
      <c r="C20" s="125" t="s">
        <v>707</v>
      </c>
      <c r="D20" s="125" t="s">
        <v>569</v>
      </c>
      <c r="E20" s="125" t="s">
        <v>789</v>
      </c>
      <c r="F20" s="125" t="s">
        <v>1100</v>
      </c>
      <c r="G20" s="125" t="s">
        <v>1105</v>
      </c>
      <c r="H20" s="125" t="s">
        <v>1106</v>
      </c>
      <c r="I20" s="125" t="s">
        <v>1107</v>
      </c>
      <c r="J20" s="125" t="s">
        <v>163</v>
      </c>
      <c r="K20" s="125" t="s">
        <v>163</v>
      </c>
      <c r="L20" s="125" t="s">
        <v>163</v>
      </c>
      <c r="M20" s="125" t="s">
        <v>1108</v>
      </c>
    </row>
    <row r="21" spans="1:13">
      <c r="A21" s="125" t="s">
        <v>1099</v>
      </c>
      <c r="B21" s="125" t="s">
        <v>635</v>
      </c>
      <c r="C21" s="125" t="s">
        <v>711</v>
      </c>
      <c r="D21" s="125" t="s">
        <v>569</v>
      </c>
      <c r="E21" s="125" t="s">
        <v>792</v>
      </c>
      <c r="F21" s="125" t="s">
        <v>1100</v>
      </c>
      <c r="G21" s="125" t="s">
        <v>1109</v>
      </c>
      <c r="H21" s="125" t="s">
        <v>1110</v>
      </c>
      <c r="I21" s="125" t="s">
        <v>1111</v>
      </c>
      <c r="J21" s="125" t="s">
        <v>11</v>
      </c>
      <c r="K21" s="125" t="s">
        <v>163</v>
      </c>
      <c r="L21" s="125" t="s">
        <v>163</v>
      </c>
      <c r="M21" s="125" t="s">
        <v>1112</v>
      </c>
    </row>
  </sheetData>
  <pageMargins left="0.7" right="0.7" top="0.78740157499999996" bottom="0.78740157499999996" header="0.3" footer="0.3"/>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8863A3EE-9B31-4B69-A052-D2045D703F96}">
          <x14:formula1>
            <xm:f>'Directory &amp; Classes Mapping'!$C$6:$C$15</xm:f>
          </x14:formula1>
          <xm:sqref>A2:A21</xm:sqref>
        </x14:dataValidation>
        <x14:dataValidation type="list" allowBlank="1" showInputMessage="1" showErrorMessage="1" xr:uid="{C148A8CE-D730-456D-92A4-B0BBF6916D18}">
          <x14:formula1>
            <xm:f>'Directory &amp; Classes Mapping'!$C$2:$C$3</xm:f>
          </x14:formula1>
          <xm:sqref>C2:C21</xm:sqref>
        </x14:dataValidation>
        <x14:dataValidation type="list" allowBlank="1" showInputMessage="1" showErrorMessage="1" xr:uid="{7D022A57-361D-43FF-8AED-BDED065F86E2}">
          <x14:formula1>
            <xm:f>'Directory &amp; Classes Mapping'!$E$2:$E$27</xm:f>
          </x14:formula1>
          <xm:sqref>K2:K21</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48790-383D-48CD-B231-49E7D45F79C3}">
  <dimension ref="A1:S96"/>
  <sheetViews>
    <sheetView zoomScale="85" zoomScaleNormal="85" workbookViewId="0">
      <pane ySplit="1" topLeftCell="A46" activePane="bottomLeft" state="frozen"/>
      <selection pane="bottomLeft" activeCell="D20" sqref="D20"/>
    </sheetView>
  </sheetViews>
  <sheetFormatPr baseColWidth="10" defaultColWidth="9.140625" defaultRowHeight="20.25" customHeight="1" zeroHeight="1"/>
  <cols>
    <col min="1" max="3" width="31.28515625" style="12" customWidth="1"/>
    <col min="4" max="4" width="43.5703125" style="12" customWidth="1"/>
    <col min="5" max="5" width="64.7109375" style="69" customWidth="1"/>
    <col min="6" max="6" width="39.85546875" style="17" customWidth="1"/>
    <col min="7" max="7" width="40.28515625" style="12" customWidth="1"/>
    <col min="8" max="8" width="31.28515625" style="12" customWidth="1"/>
    <col min="9" max="9" width="36.42578125" style="12" customWidth="1"/>
    <col min="10" max="11" width="31.28515625" style="12" customWidth="1"/>
    <col min="12" max="12" width="15.140625" style="17" customWidth="1"/>
    <col min="13" max="15" width="9.140625" style="12"/>
    <col min="16" max="16" width="74.7109375" style="12" customWidth="1"/>
    <col min="17" max="17" width="27.42578125" style="12" customWidth="1"/>
    <col min="18" max="18" width="51.85546875" style="12" customWidth="1"/>
    <col min="19" max="19" width="53.85546875" style="12" customWidth="1"/>
    <col min="20" max="16384" width="9.140625" style="12"/>
  </cols>
  <sheetData>
    <row r="1" spans="1:19" s="111" customFormat="1" ht="20.25" customHeight="1">
      <c r="A1" s="111" t="s">
        <v>735</v>
      </c>
      <c r="B1" s="111" t="s">
        <v>739</v>
      </c>
      <c r="C1" s="111" t="s">
        <v>740</v>
      </c>
      <c r="D1" s="111" t="s">
        <v>734</v>
      </c>
      <c r="E1" s="111" t="s">
        <v>15</v>
      </c>
      <c r="F1" s="112" t="s">
        <v>748</v>
      </c>
      <c r="G1" s="111" t="s">
        <v>230</v>
      </c>
      <c r="H1" s="111" t="s">
        <v>231</v>
      </c>
      <c r="I1" s="111" t="s">
        <v>147</v>
      </c>
      <c r="J1" s="111" t="s">
        <v>16</v>
      </c>
      <c r="K1" s="111" t="s">
        <v>433</v>
      </c>
      <c r="L1" s="112" t="s">
        <v>634</v>
      </c>
      <c r="P1" s="113"/>
    </row>
    <row r="2" spans="1:19" ht="20.25" customHeight="1">
      <c r="A2" s="12" t="s">
        <v>437</v>
      </c>
      <c r="B2" s="12" t="s">
        <v>639</v>
      </c>
      <c r="C2" s="12" t="s">
        <v>229</v>
      </c>
      <c r="D2" s="70" t="s">
        <v>641</v>
      </c>
      <c r="E2" s="73"/>
      <c r="F2" s="76" t="s">
        <v>749</v>
      </c>
      <c r="G2" s="70" t="s">
        <v>750</v>
      </c>
      <c r="H2" s="70"/>
      <c r="I2" s="70"/>
      <c r="J2" s="77"/>
      <c r="P2" s="9"/>
      <c r="Q2" s="31"/>
      <c r="R2" s="5"/>
      <c r="S2" s="6"/>
    </row>
    <row r="3" spans="1:19" ht="20.25" customHeight="1">
      <c r="A3" s="12" t="s">
        <v>590</v>
      </c>
      <c r="B3" s="12" t="s">
        <v>645</v>
      </c>
      <c r="C3" s="12" t="s">
        <v>229</v>
      </c>
      <c r="D3" s="70" t="s">
        <v>753</v>
      </c>
      <c r="E3" s="73"/>
      <c r="F3" s="76" t="s">
        <v>755</v>
      </c>
      <c r="G3" s="76" t="s">
        <v>754</v>
      </c>
      <c r="H3" s="70"/>
      <c r="I3" s="70"/>
      <c r="J3" s="77"/>
      <c r="P3" s="9"/>
      <c r="Q3" s="31"/>
      <c r="R3" s="5"/>
      <c r="S3" s="6"/>
    </row>
    <row r="4" spans="1:19" ht="20.25" customHeight="1">
      <c r="A4" s="12" t="s">
        <v>590</v>
      </c>
      <c r="B4" s="12" t="s">
        <v>645</v>
      </c>
      <c r="C4" s="12" t="s">
        <v>229</v>
      </c>
      <c r="D4" s="70" t="s">
        <v>756</v>
      </c>
      <c r="E4" s="73"/>
      <c r="F4" s="76" t="s">
        <v>755</v>
      </c>
      <c r="G4" s="70" t="s">
        <v>757</v>
      </c>
      <c r="H4" s="70"/>
      <c r="I4" s="70"/>
      <c r="J4" s="77"/>
      <c r="P4" s="10"/>
      <c r="Q4" s="31"/>
      <c r="R4" s="5"/>
      <c r="S4" s="6"/>
    </row>
    <row r="5" spans="1:19" s="114" customFormat="1" ht="20.25" hidden="1" customHeight="1">
      <c r="A5" s="114" t="s">
        <v>537</v>
      </c>
      <c r="B5" s="114" t="s">
        <v>199</v>
      </c>
      <c r="C5" s="114" t="s">
        <v>14</v>
      </c>
      <c r="D5" s="115" t="s">
        <v>200</v>
      </c>
      <c r="E5" s="115" t="s">
        <v>201</v>
      </c>
      <c r="F5" s="115"/>
      <c r="G5" s="115"/>
      <c r="H5" s="115"/>
      <c r="I5" s="116" t="s">
        <v>202</v>
      </c>
      <c r="J5" s="117"/>
      <c r="L5" s="118" t="s">
        <v>741</v>
      </c>
      <c r="P5" s="119"/>
      <c r="Q5" s="120"/>
      <c r="R5" s="121"/>
      <c r="S5" s="6"/>
    </row>
    <row r="6" spans="1:19" s="114" customFormat="1" ht="20.25" hidden="1" customHeight="1">
      <c r="A6" s="114" t="s">
        <v>537</v>
      </c>
      <c r="B6" s="114" t="s">
        <v>199</v>
      </c>
      <c r="C6" s="114" t="s">
        <v>14</v>
      </c>
      <c r="D6" s="115" t="s">
        <v>148</v>
      </c>
      <c r="E6" s="115" t="s">
        <v>162</v>
      </c>
      <c r="F6" s="115"/>
      <c r="G6" s="115"/>
      <c r="H6" s="115"/>
      <c r="I6" s="116" t="s">
        <v>203</v>
      </c>
      <c r="J6" s="117"/>
      <c r="L6" s="118"/>
      <c r="P6" s="119"/>
      <c r="Q6" s="111"/>
      <c r="R6" s="111"/>
      <c r="S6" s="6"/>
    </row>
    <row r="7" spans="1:19" s="114" customFormat="1" ht="20.25" hidden="1" customHeight="1">
      <c r="A7" s="114" t="s">
        <v>537</v>
      </c>
      <c r="B7" s="114" t="s">
        <v>199</v>
      </c>
      <c r="C7" s="114" t="s">
        <v>14</v>
      </c>
      <c r="D7" s="6" t="s">
        <v>204</v>
      </c>
      <c r="E7" s="6" t="s">
        <v>21</v>
      </c>
      <c r="F7" s="6"/>
      <c r="G7" s="6"/>
      <c r="H7" s="6"/>
      <c r="I7" s="112" t="s">
        <v>205</v>
      </c>
      <c r="L7" s="118"/>
      <c r="P7" s="122"/>
      <c r="Q7" s="123"/>
      <c r="R7" s="112"/>
      <c r="S7" s="6"/>
    </row>
    <row r="8" spans="1:19" s="114" customFormat="1" ht="20.25" hidden="1" customHeight="1">
      <c r="A8" s="114" t="s">
        <v>537</v>
      </c>
      <c r="B8" s="114" t="s">
        <v>206</v>
      </c>
      <c r="C8" s="114" t="s">
        <v>14</v>
      </c>
      <c r="D8" s="6" t="s">
        <v>17</v>
      </c>
      <c r="E8" s="6" t="s">
        <v>130</v>
      </c>
      <c r="F8" s="6"/>
      <c r="G8" s="6"/>
      <c r="H8" s="6"/>
      <c r="I8" s="112" t="s">
        <v>207</v>
      </c>
      <c r="L8" s="118" t="s">
        <v>741</v>
      </c>
      <c r="P8" s="122"/>
      <c r="R8" s="112"/>
      <c r="S8" s="6"/>
    </row>
    <row r="9" spans="1:19" s="114" customFormat="1" ht="20.25" hidden="1" customHeight="1">
      <c r="A9" s="114" t="s">
        <v>537</v>
      </c>
      <c r="B9" s="114" t="s">
        <v>206</v>
      </c>
      <c r="C9" s="114" t="s">
        <v>14</v>
      </c>
      <c r="D9" s="6" t="s">
        <v>208</v>
      </c>
      <c r="E9" s="6" t="s">
        <v>209</v>
      </c>
      <c r="F9" s="6"/>
      <c r="G9" s="6"/>
      <c r="H9" s="6"/>
      <c r="I9" s="112" t="s">
        <v>210</v>
      </c>
      <c r="L9" s="118"/>
      <c r="P9" s="113"/>
      <c r="R9" s="112"/>
    </row>
    <row r="10" spans="1:19" s="114" customFormat="1" ht="20.25" hidden="1" customHeight="1">
      <c r="A10" s="114" t="s">
        <v>537</v>
      </c>
      <c r="B10" s="114" t="s">
        <v>206</v>
      </c>
      <c r="C10" s="114" t="s">
        <v>14</v>
      </c>
      <c r="D10" s="6" t="s">
        <v>23</v>
      </c>
      <c r="E10" s="6" t="s">
        <v>24</v>
      </c>
      <c r="F10" s="6"/>
      <c r="G10" s="6"/>
      <c r="H10" s="6"/>
      <c r="I10" s="112" t="s">
        <v>211</v>
      </c>
      <c r="L10" s="118"/>
      <c r="P10" s="113"/>
      <c r="R10" s="112"/>
      <c r="S10" s="6"/>
    </row>
    <row r="11" spans="1:19" s="114" customFormat="1" ht="20.25" customHeight="1">
      <c r="A11" s="114" t="s">
        <v>537</v>
      </c>
      <c r="B11" s="114" t="s">
        <v>533</v>
      </c>
      <c r="C11" s="114" t="s">
        <v>229</v>
      </c>
      <c r="D11" s="114" t="s">
        <v>539</v>
      </c>
      <c r="F11" s="118" t="s">
        <v>752</v>
      </c>
      <c r="G11" s="114" t="s">
        <v>751</v>
      </c>
      <c r="L11" s="118"/>
      <c r="P11" s="113"/>
      <c r="R11" s="112"/>
      <c r="S11" s="6"/>
    </row>
    <row r="12" spans="1:19" s="114" customFormat="1" ht="20.25" customHeight="1">
      <c r="A12" s="114" t="s">
        <v>537</v>
      </c>
      <c r="B12" s="114" t="s">
        <v>539</v>
      </c>
      <c r="C12" s="114" t="s">
        <v>229</v>
      </c>
      <c r="D12" s="114" t="s">
        <v>1024</v>
      </c>
      <c r="F12" s="118" t="s">
        <v>1025</v>
      </c>
      <c r="K12" s="114" t="s">
        <v>538</v>
      </c>
      <c r="L12" s="118"/>
      <c r="P12" s="113"/>
      <c r="Q12" s="123"/>
      <c r="R12" s="112"/>
      <c r="S12" s="6"/>
    </row>
    <row r="13" spans="1:19" ht="20.25" customHeight="1">
      <c r="A13" s="12" t="s">
        <v>635</v>
      </c>
      <c r="B13" s="12" t="s">
        <v>731</v>
      </c>
      <c r="C13" s="12" t="s">
        <v>229</v>
      </c>
      <c r="D13" s="12" t="s">
        <v>787</v>
      </c>
      <c r="F13" s="17" t="s">
        <v>704</v>
      </c>
      <c r="P13" s="11"/>
      <c r="Q13" s="31"/>
      <c r="R13" s="5"/>
      <c r="S13" s="6"/>
    </row>
    <row r="14" spans="1:19" ht="20.25" hidden="1" customHeight="1">
      <c r="A14" s="12" t="s">
        <v>635</v>
      </c>
      <c r="B14" s="12" t="s">
        <v>732</v>
      </c>
      <c r="P14" s="11"/>
      <c r="Q14" s="31"/>
      <c r="R14" s="5"/>
      <c r="S14" s="6"/>
    </row>
    <row r="15" spans="1:19" ht="20.25" customHeight="1">
      <c r="A15" s="12" t="s">
        <v>635</v>
      </c>
      <c r="B15" s="12" t="s">
        <v>788</v>
      </c>
      <c r="C15" s="12" t="s">
        <v>229</v>
      </c>
      <c r="P15" s="11"/>
      <c r="Q15" s="31"/>
      <c r="R15" s="5"/>
      <c r="S15" s="6"/>
    </row>
    <row r="16" spans="1:19" ht="20.25" customHeight="1">
      <c r="A16" s="12" t="s">
        <v>635</v>
      </c>
      <c r="B16" s="12" t="s">
        <v>707</v>
      </c>
      <c r="C16" s="12" t="s">
        <v>229</v>
      </c>
      <c r="D16" s="12" t="s">
        <v>789</v>
      </c>
      <c r="F16" s="17" t="s">
        <v>790</v>
      </c>
      <c r="P16" s="11"/>
      <c r="Q16" s="31"/>
      <c r="R16" s="5"/>
      <c r="S16" s="6"/>
    </row>
    <row r="17" spans="1:19" ht="20.25" customHeight="1">
      <c r="A17" s="12" t="s">
        <v>635</v>
      </c>
      <c r="B17" s="12" t="s">
        <v>707</v>
      </c>
      <c r="C17" s="12" t="s">
        <v>229</v>
      </c>
      <c r="D17" s="12" t="s">
        <v>791</v>
      </c>
      <c r="P17" s="32"/>
      <c r="Q17" s="31"/>
      <c r="R17" s="5"/>
      <c r="S17" s="6"/>
    </row>
    <row r="18" spans="1:19" ht="20.25" customHeight="1">
      <c r="A18" s="12" t="s">
        <v>635</v>
      </c>
      <c r="B18" s="12" t="s">
        <v>711</v>
      </c>
      <c r="C18" s="12" t="s">
        <v>229</v>
      </c>
      <c r="D18" s="12" t="s">
        <v>792</v>
      </c>
      <c r="F18" s="17" t="s">
        <v>793</v>
      </c>
      <c r="P18" s="32"/>
      <c r="Q18" s="31"/>
      <c r="R18" s="5"/>
      <c r="S18" s="8"/>
    </row>
    <row r="19" spans="1:19" ht="20.25" customHeight="1">
      <c r="A19" s="12" t="s">
        <v>611</v>
      </c>
      <c r="B19" s="12" t="s">
        <v>694</v>
      </c>
      <c r="C19" s="12" t="s">
        <v>229</v>
      </c>
      <c r="D19" s="12" t="s">
        <v>780</v>
      </c>
      <c r="F19" s="17" t="s">
        <v>786</v>
      </c>
      <c r="G19" s="12" t="s">
        <v>781</v>
      </c>
      <c r="P19" s="32"/>
      <c r="Q19" s="31"/>
      <c r="R19" s="5"/>
      <c r="S19" s="6"/>
    </row>
    <row r="20" spans="1:19" ht="20.25" customHeight="1">
      <c r="A20" s="12" t="s">
        <v>611</v>
      </c>
      <c r="B20" s="12" t="s">
        <v>697</v>
      </c>
      <c r="C20" s="12" t="s">
        <v>229</v>
      </c>
      <c r="D20" s="12" t="s">
        <v>623</v>
      </c>
      <c r="F20" s="17" t="s">
        <v>698</v>
      </c>
      <c r="G20" s="12" t="s">
        <v>782</v>
      </c>
      <c r="P20" s="32"/>
      <c r="Q20" s="31"/>
      <c r="R20" s="5"/>
      <c r="S20" s="6"/>
    </row>
    <row r="21" spans="1:19" ht="20.25" customHeight="1">
      <c r="A21" s="12" t="s">
        <v>611</v>
      </c>
      <c r="B21" s="12" t="s">
        <v>783</v>
      </c>
      <c r="C21" s="12" t="s">
        <v>229</v>
      </c>
      <c r="D21" s="12" t="s">
        <v>784</v>
      </c>
      <c r="F21" s="17" t="s">
        <v>701</v>
      </c>
      <c r="G21" s="12" t="s">
        <v>785</v>
      </c>
      <c r="P21" s="32"/>
      <c r="Q21" s="31"/>
      <c r="R21" s="5"/>
      <c r="S21" s="6"/>
    </row>
    <row r="22" spans="1:19" ht="20.25" hidden="1" customHeight="1">
      <c r="A22" s="12" t="s">
        <v>576</v>
      </c>
      <c r="B22" s="12" t="s">
        <v>212</v>
      </c>
      <c r="C22" s="12" t="s">
        <v>14</v>
      </c>
      <c r="D22" s="16" t="s">
        <v>17</v>
      </c>
      <c r="E22" s="68" t="s">
        <v>213</v>
      </c>
      <c r="F22" s="16"/>
      <c r="G22" s="16"/>
      <c r="H22" s="16"/>
      <c r="I22" s="15" t="s">
        <v>214</v>
      </c>
      <c r="L22" s="17" t="s">
        <v>741</v>
      </c>
      <c r="P22" s="32"/>
      <c r="Q22" s="31"/>
      <c r="R22" s="5"/>
      <c r="S22" s="6"/>
    </row>
    <row r="23" spans="1:19" ht="20.25" hidden="1" customHeight="1">
      <c r="A23" s="12" t="s">
        <v>576</v>
      </c>
      <c r="B23" s="12" t="s">
        <v>212</v>
      </c>
      <c r="C23" s="12" t="s">
        <v>14</v>
      </c>
      <c r="D23" s="16" t="s">
        <v>215</v>
      </c>
      <c r="E23" s="68" t="s">
        <v>216</v>
      </c>
      <c r="F23" s="16"/>
      <c r="G23" s="16"/>
      <c r="H23" s="16"/>
      <c r="I23" s="15" t="s">
        <v>217</v>
      </c>
      <c r="P23" s="7"/>
      <c r="Q23" s="31"/>
      <c r="R23" s="5"/>
      <c r="S23" s="6"/>
    </row>
    <row r="24" spans="1:19" ht="20.25" hidden="1" customHeight="1">
      <c r="A24" s="12" t="s">
        <v>576</v>
      </c>
      <c r="B24" s="12" t="s">
        <v>212</v>
      </c>
      <c r="C24" s="12" t="s">
        <v>14</v>
      </c>
      <c r="D24" s="16" t="s">
        <v>218</v>
      </c>
      <c r="E24" s="68" t="s">
        <v>219</v>
      </c>
      <c r="F24" s="16"/>
      <c r="G24" s="16"/>
      <c r="H24" s="16"/>
      <c r="I24" s="15" t="s">
        <v>220</v>
      </c>
      <c r="P24" s="32"/>
      <c r="Q24" s="31"/>
      <c r="R24" s="5"/>
      <c r="S24" s="6"/>
    </row>
    <row r="25" spans="1:19" ht="20.25" hidden="1" customHeight="1">
      <c r="A25" s="12" t="s">
        <v>576</v>
      </c>
      <c r="B25" s="12" t="s">
        <v>212</v>
      </c>
      <c r="C25" s="12" t="s">
        <v>14</v>
      </c>
      <c r="D25" s="16" t="s">
        <v>221</v>
      </c>
      <c r="E25" s="68" t="s">
        <v>162</v>
      </c>
      <c r="F25" s="16"/>
      <c r="G25" s="16"/>
      <c r="H25" s="16"/>
      <c r="I25" s="15" t="s">
        <v>222</v>
      </c>
      <c r="P25" s="7"/>
      <c r="Q25" s="31"/>
      <c r="R25" s="5"/>
      <c r="S25" s="6"/>
    </row>
    <row r="26" spans="1:19" ht="20.25" hidden="1" customHeight="1">
      <c r="A26" s="12" t="s">
        <v>576</v>
      </c>
      <c r="B26" s="12" t="s">
        <v>212</v>
      </c>
      <c r="C26" s="12" t="s">
        <v>14</v>
      </c>
      <c r="D26" s="16" t="s">
        <v>23</v>
      </c>
      <c r="E26" s="68" t="s">
        <v>24</v>
      </c>
      <c r="F26" s="16"/>
      <c r="G26" s="16"/>
      <c r="H26" s="16"/>
      <c r="I26" s="15" t="s">
        <v>211</v>
      </c>
      <c r="P26" s="7"/>
      <c r="Q26" s="31"/>
      <c r="R26" s="5"/>
      <c r="S26" s="6"/>
    </row>
    <row r="27" spans="1:19" ht="20.25" hidden="1" customHeight="1">
      <c r="A27" s="12" t="s">
        <v>576</v>
      </c>
      <c r="B27" s="12" t="s">
        <v>132</v>
      </c>
      <c r="C27" s="12" t="s">
        <v>14</v>
      </c>
      <c r="D27" s="16" t="s">
        <v>17</v>
      </c>
      <c r="E27" s="68" t="s">
        <v>223</v>
      </c>
      <c r="F27" s="16"/>
      <c r="G27" s="16"/>
      <c r="H27" s="16"/>
      <c r="I27" s="15" t="s">
        <v>214</v>
      </c>
      <c r="P27" s="7"/>
      <c r="Q27" s="31"/>
      <c r="R27" s="5"/>
      <c r="S27" s="6"/>
    </row>
    <row r="28" spans="1:19" ht="20.25" hidden="1" customHeight="1">
      <c r="A28" s="12" t="s">
        <v>576</v>
      </c>
      <c r="B28" s="12" t="s">
        <v>132</v>
      </c>
      <c r="C28" s="12" t="s">
        <v>14</v>
      </c>
      <c r="D28" s="16" t="s">
        <v>134</v>
      </c>
      <c r="E28" s="68" t="s">
        <v>135</v>
      </c>
      <c r="F28" s="16"/>
      <c r="G28" s="16"/>
      <c r="H28" s="16"/>
      <c r="I28" s="15" t="s">
        <v>224</v>
      </c>
    </row>
    <row r="29" spans="1:19" ht="20.25" hidden="1" customHeight="1">
      <c r="A29" s="12" t="s">
        <v>576</v>
      </c>
      <c r="B29" s="12" t="s">
        <v>132</v>
      </c>
      <c r="C29" s="12" t="s">
        <v>14</v>
      </c>
      <c r="D29" s="16" t="s">
        <v>136</v>
      </c>
      <c r="E29" s="68" t="s">
        <v>137</v>
      </c>
      <c r="F29" s="16"/>
      <c r="G29" s="16"/>
      <c r="H29" s="16"/>
      <c r="I29" s="15" t="s">
        <v>225</v>
      </c>
    </row>
    <row r="30" spans="1:19" ht="20.25" hidden="1" customHeight="1">
      <c r="A30" s="12" t="s">
        <v>576</v>
      </c>
      <c r="B30" s="12" t="s">
        <v>132</v>
      </c>
      <c r="C30" s="12" t="s">
        <v>14</v>
      </c>
      <c r="D30" s="16" t="s">
        <v>138</v>
      </c>
      <c r="E30" s="68" t="s">
        <v>226</v>
      </c>
      <c r="F30" s="16"/>
      <c r="G30" s="16"/>
      <c r="H30" s="16"/>
      <c r="I30" s="15" t="s">
        <v>227</v>
      </c>
    </row>
    <row r="31" spans="1:19" ht="20.25" hidden="1" customHeight="1">
      <c r="A31" s="12" t="s">
        <v>576</v>
      </c>
      <c r="B31" s="12" t="s">
        <v>132</v>
      </c>
      <c r="C31" s="12" t="s">
        <v>14</v>
      </c>
      <c r="D31" s="16" t="s">
        <v>23</v>
      </c>
      <c r="E31" s="68" t="s">
        <v>24</v>
      </c>
      <c r="F31" s="16"/>
      <c r="G31" s="16"/>
      <c r="H31" s="16"/>
      <c r="I31" s="15" t="s">
        <v>139</v>
      </c>
    </row>
    <row r="32" spans="1:19" ht="20.25" customHeight="1">
      <c r="A32" s="12" t="s">
        <v>576</v>
      </c>
      <c r="B32" s="12" t="s">
        <v>228</v>
      </c>
      <c r="C32" s="12" t="s">
        <v>229</v>
      </c>
      <c r="D32" s="12" t="s">
        <v>232</v>
      </c>
      <c r="G32" s="12" t="s">
        <v>743</v>
      </c>
      <c r="H32" s="12" t="s">
        <v>233</v>
      </c>
      <c r="J32" s="12" t="s">
        <v>742</v>
      </c>
      <c r="L32" s="17" t="s">
        <v>747</v>
      </c>
    </row>
    <row r="33" spans="1:16" ht="20.25" customHeight="1">
      <c r="A33" s="12" t="s">
        <v>576</v>
      </c>
      <c r="B33" s="12" t="s">
        <v>228</v>
      </c>
      <c r="C33" s="12" t="s">
        <v>229</v>
      </c>
      <c r="D33" s="12" t="s">
        <v>234</v>
      </c>
      <c r="G33" s="12" t="s">
        <v>235</v>
      </c>
      <c r="H33" s="12" t="s">
        <v>233</v>
      </c>
      <c r="J33" s="12" t="s">
        <v>236</v>
      </c>
    </row>
    <row r="34" spans="1:16" ht="20.25" customHeight="1">
      <c r="A34" s="12" t="s">
        <v>576</v>
      </c>
      <c r="B34" s="12" t="s">
        <v>237</v>
      </c>
      <c r="C34" s="12" t="s">
        <v>229</v>
      </c>
      <c r="D34" s="12" t="s">
        <v>238</v>
      </c>
      <c r="G34" s="12" t="s">
        <v>239</v>
      </c>
      <c r="H34" s="12" t="s">
        <v>744</v>
      </c>
      <c r="J34" s="12" t="s">
        <v>184</v>
      </c>
    </row>
    <row r="35" spans="1:16" ht="20.25" customHeight="1">
      <c r="A35" s="12" t="s">
        <v>576</v>
      </c>
      <c r="B35" s="12" t="s">
        <v>237</v>
      </c>
      <c r="C35" s="12" t="s">
        <v>229</v>
      </c>
      <c r="D35" s="12" t="s">
        <v>240</v>
      </c>
      <c r="G35" s="12" t="s">
        <v>148</v>
      </c>
      <c r="H35" s="12" t="s">
        <v>744</v>
      </c>
      <c r="J35" s="12" t="s">
        <v>241</v>
      </c>
    </row>
    <row r="36" spans="1:16" ht="20.25" customHeight="1">
      <c r="A36" s="12" t="s">
        <v>576</v>
      </c>
      <c r="B36" s="12" t="s">
        <v>745</v>
      </c>
      <c r="C36" s="12" t="s">
        <v>229</v>
      </c>
      <c r="D36" s="12" t="s">
        <v>243</v>
      </c>
      <c r="G36" s="12" t="s">
        <v>244</v>
      </c>
      <c r="H36" s="12" t="s">
        <v>245</v>
      </c>
      <c r="J36" s="12" t="s">
        <v>246</v>
      </c>
    </row>
    <row r="37" spans="1:16" ht="20.25" customHeight="1">
      <c r="A37" s="12" t="s">
        <v>576</v>
      </c>
      <c r="B37" s="12" t="s">
        <v>745</v>
      </c>
      <c r="C37" s="12" t="s">
        <v>229</v>
      </c>
      <c r="D37" s="12" t="s">
        <v>247</v>
      </c>
      <c r="G37" s="12" t="s">
        <v>241</v>
      </c>
      <c r="H37" s="12" t="s">
        <v>245</v>
      </c>
      <c r="J37" s="12" t="s">
        <v>746</v>
      </c>
    </row>
    <row r="38" spans="1:16" ht="20.25" customHeight="1">
      <c r="A38" s="12" t="s">
        <v>576</v>
      </c>
      <c r="B38" t="s">
        <v>662</v>
      </c>
      <c r="C38" s="12" t="s">
        <v>229</v>
      </c>
      <c r="D38" t="s">
        <v>775</v>
      </c>
      <c r="F38" s="17" t="s">
        <v>663</v>
      </c>
      <c r="G38" s="12" t="s">
        <v>568</v>
      </c>
    </row>
    <row r="39" spans="1:16" ht="20.25" customHeight="1">
      <c r="A39" s="12" t="s">
        <v>576</v>
      </c>
      <c r="B39" t="s">
        <v>665</v>
      </c>
      <c r="C39" s="12" t="s">
        <v>229</v>
      </c>
      <c r="D39" s="6" t="s">
        <v>774</v>
      </c>
      <c r="F39" s="17" t="s">
        <v>666</v>
      </c>
      <c r="G39" s="12" t="s">
        <v>568</v>
      </c>
    </row>
    <row r="40" spans="1:16" ht="20.25" customHeight="1">
      <c r="A40" s="12" t="s">
        <v>576</v>
      </c>
      <c r="B40" t="s">
        <v>668</v>
      </c>
      <c r="C40" s="12" t="s">
        <v>229</v>
      </c>
      <c r="D40" s="6" t="s">
        <v>773</v>
      </c>
      <c r="F40" s="17" t="s">
        <v>669</v>
      </c>
      <c r="G40" s="12" t="s">
        <v>568</v>
      </c>
      <c r="P40" s="97"/>
    </row>
    <row r="41" spans="1:16" ht="20.25" customHeight="1">
      <c r="A41" s="12" t="s">
        <v>576</v>
      </c>
      <c r="B41" s="31" t="s">
        <v>671</v>
      </c>
      <c r="C41" s="12" t="s">
        <v>229</v>
      </c>
      <c r="D41" s="6" t="s">
        <v>772</v>
      </c>
      <c r="F41" s="17" t="s">
        <v>672</v>
      </c>
      <c r="G41" s="12" t="s">
        <v>568</v>
      </c>
      <c r="P41" s="98"/>
    </row>
    <row r="42" spans="1:16" ht="20.25" customHeight="1">
      <c r="A42" s="12" t="s">
        <v>576</v>
      </c>
      <c r="B42" s="31" t="s">
        <v>674</v>
      </c>
      <c r="C42" s="12" t="s">
        <v>229</v>
      </c>
      <c r="D42" s="6" t="s">
        <v>771</v>
      </c>
      <c r="F42" s="17" t="s">
        <v>675</v>
      </c>
      <c r="G42" s="12" t="s">
        <v>568</v>
      </c>
      <c r="P42" s="98"/>
    </row>
    <row r="43" spans="1:16" ht="20.25" customHeight="1">
      <c r="A43" s="12" t="s">
        <v>576</v>
      </c>
      <c r="B43" s="31" t="s">
        <v>677</v>
      </c>
      <c r="C43" s="12" t="s">
        <v>229</v>
      </c>
      <c r="D43" s="6" t="s">
        <v>770</v>
      </c>
      <c r="F43" s="17" t="s">
        <v>678</v>
      </c>
      <c r="G43" s="12" t="s">
        <v>568</v>
      </c>
      <c r="P43" s="98"/>
    </row>
    <row r="44" spans="1:16" ht="20.25" customHeight="1">
      <c r="A44" s="12" t="s">
        <v>576</v>
      </c>
      <c r="B44" s="31" t="s">
        <v>680</v>
      </c>
      <c r="C44" s="12" t="s">
        <v>229</v>
      </c>
      <c r="D44" s="6" t="s">
        <v>769</v>
      </c>
      <c r="F44" s="17" t="s">
        <v>681</v>
      </c>
      <c r="G44" s="12" t="s">
        <v>568</v>
      </c>
      <c r="P44" s="98"/>
    </row>
    <row r="45" spans="1:16" ht="20.25" customHeight="1">
      <c r="A45" s="12" t="s">
        <v>576</v>
      </c>
      <c r="B45" s="31" t="s">
        <v>683</v>
      </c>
      <c r="C45" s="12" t="s">
        <v>229</v>
      </c>
      <c r="D45" s="6" t="s">
        <v>768</v>
      </c>
      <c r="F45" s="17" t="s">
        <v>684</v>
      </c>
      <c r="G45" s="12" t="s">
        <v>568</v>
      </c>
      <c r="P45" s="98"/>
    </row>
    <row r="46" spans="1:16" ht="20.25" customHeight="1">
      <c r="A46" s="12" t="s">
        <v>576</v>
      </c>
      <c r="B46" s="31" t="s">
        <v>687</v>
      </c>
      <c r="C46" s="12" t="s">
        <v>229</v>
      </c>
      <c r="D46" s="12" t="s">
        <v>767</v>
      </c>
      <c r="F46" s="17" t="s">
        <v>688</v>
      </c>
      <c r="G46" s="12" t="s">
        <v>766</v>
      </c>
      <c r="P46" s="98"/>
    </row>
    <row r="47" spans="1:16" ht="20.25" customHeight="1">
      <c r="A47" s="12" t="s">
        <v>601</v>
      </c>
      <c r="B47" s="12" t="s">
        <v>581</v>
      </c>
      <c r="C47" s="12" t="s">
        <v>229</v>
      </c>
      <c r="D47" s="12" t="s">
        <v>776</v>
      </c>
      <c r="F47" s="17" t="s">
        <v>691</v>
      </c>
      <c r="G47" s="12" t="s">
        <v>777</v>
      </c>
      <c r="P47" s="98"/>
    </row>
    <row r="48" spans="1:16" ht="20.25" customHeight="1">
      <c r="A48" s="12" t="s">
        <v>601</v>
      </c>
      <c r="B48" s="12" t="s">
        <v>581</v>
      </c>
      <c r="C48" s="12" t="s">
        <v>229</v>
      </c>
      <c r="D48" s="12" t="s">
        <v>999</v>
      </c>
      <c r="G48" s="12" t="s">
        <v>148</v>
      </c>
    </row>
    <row r="49" spans="1:12" ht="20.25" customHeight="1">
      <c r="A49" s="12" t="s">
        <v>601</v>
      </c>
      <c r="B49" s="12" t="s">
        <v>581</v>
      </c>
      <c r="C49" s="12" t="s">
        <v>229</v>
      </c>
      <c r="D49" s="12" t="s">
        <v>778</v>
      </c>
      <c r="G49" s="12" t="s">
        <v>779</v>
      </c>
    </row>
    <row r="50" spans="1:12" ht="20.25" customHeight="1">
      <c r="A50" s="12" t="s">
        <v>601</v>
      </c>
      <c r="B50" s="12" t="s">
        <v>581</v>
      </c>
      <c r="C50" s="12" t="s">
        <v>229</v>
      </c>
      <c r="D50" s="12" t="s">
        <v>997</v>
      </c>
    </row>
    <row r="51" spans="1:12" ht="20.25" customHeight="1">
      <c r="A51" s="12" t="s">
        <v>601</v>
      </c>
      <c r="B51" s="12" t="s">
        <v>581</v>
      </c>
      <c r="C51" s="12" t="s">
        <v>229</v>
      </c>
      <c r="D51" s="12" t="s">
        <v>998</v>
      </c>
    </row>
    <row r="52" spans="1:12" ht="20.25" hidden="1" customHeight="1">
      <c r="A52" s="12" t="s">
        <v>568</v>
      </c>
      <c r="B52" s="12" t="s">
        <v>177</v>
      </c>
      <c r="C52" s="12" t="s">
        <v>14</v>
      </c>
      <c r="D52" s="16" t="s">
        <v>178</v>
      </c>
      <c r="E52" s="68" t="s">
        <v>21</v>
      </c>
      <c r="F52" s="16"/>
      <c r="G52" s="16"/>
      <c r="H52" s="16"/>
      <c r="I52" s="15" t="s">
        <v>179</v>
      </c>
      <c r="L52" s="17" t="s">
        <v>741</v>
      </c>
    </row>
    <row r="53" spans="1:12" ht="20.25" hidden="1" customHeight="1">
      <c r="A53" s="12" t="s">
        <v>568</v>
      </c>
      <c r="B53" s="12" t="s">
        <v>177</v>
      </c>
      <c r="C53" s="12" t="s">
        <v>14</v>
      </c>
      <c r="D53" s="16" t="s">
        <v>180</v>
      </c>
      <c r="E53" s="68" t="s">
        <v>21</v>
      </c>
      <c r="F53" s="16"/>
      <c r="G53" s="16"/>
      <c r="H53" s="16"/>
      <c r="I53" s="15" t="s">
        <v>181</v>
      </c>
    </row>
    <row r="54" spans="1:12" ht="20.25" hidden="1" customHeight="1">
      <c r="A54" s="12" t="s">
        <v>568</v>
      </c>
      <c r="B54" s="12" t="s">
        <v>177</v>
      </c>
      <c r="C54" s="12" t="s">
        <v>14</v>
      </c>
      <c r="D54" s="16" t="s">
        <v>182</v>
      </c>
      <c r="E54" s="68" t="s">
        <v>21</v>
      </c>
      <c r="F54" s="16"/>
      <c r="G54" s="16"/>
      <c r="H54" s="16"/>
      <c r="I54" s="15" t="s">
        <v>183</v>
      </c>
    </row>
    <row r="55" spans="1:12" ht="20.25" hidden="1" customHeight="1">
      <c r="A55" s="12" t="s">
        <v>568</v>
      </c>
      <c r="B55" s="12" t="s">
        <v>177</v>
      </c>
      <c r="C55" s="12" t="s">
        <v>14</v>
      </c>
      <c r="D55" s="16" t="s">
        <v>184</v>
      </c>
      <c r="E55" s="68" t="s">
        <v>21</v>
      </c>
      <c r="F55" s="16"/>
      <c r="G55" s="16"/>
      <c r="H55" s="16"/>
      <c r="I55" s="15" t="s">
        <v>185</v>
      </c>
    </row>
    <row r="56" spans="1:12" ht="20.25" hidden="1" customHeight="1">
      <c r="A56" s="12" t="s">
        <v>568</v>
      </c>
      <c r="B56" s="12" t="s">
        <v>177</v>
      </c>
      <c r="C56" s="12" t="s">
        <v>14</v>
      </c>
      <c r="D56" s="16" t="s">
        <v>143</v>
      </c>
      <c r="E56" s="68" t="s">
        <v>21</v>
      </c>
      <c r="F56" s="16"/>
      <c r="G56" s="16"/>
      <c r="H56" s="16"/>
      <c r="I56" s="15" t="s">
        <v>186</v>
      </c>
    </row>
    <row r="57" spans="1:12" ht="20.25" hidden="1" customHeight="1">
      <c r="A57" s="12" t="s">
        <v>568</v>
      </c>
      <c r="B57" s="12" t="s">
        <v>177</v>
      </c>
      <c r="C57" s="12" t="s">
        <v>14</v>
      </c>
      <c r="D57" s="16" t="s">
        <v>187</v>
      </c>
      <c r="E57" s="68" t="s">
        <v>21</v>
      </c>
      <c r="F57" s="16"/>
      <c r="G57" s="16"/>
      <c r="H57" s="16"/>
      <c r="I57" s="15" t="s">
        <v>188</v>
      </c>
    </row>
    <row r="58" spans="1:12" ht="20.25" hidden="1" customHeight="1">
      <c r="A58" s="12" t="s">
        <v>568</v>
      </c>
      <c r="B58" s="12" t="s">
        <v>189</v>
      </c>
      <c r="C58" s="12" t="s">
        <v>14</v>
      </c>
      <c r="D58" s="16" t="s">
        <v>190</v>
      </c>
      <c r="E58" s="68" t="s">
        <v>146</v>
      </c>
      <c r="F58" s="16"/>
      <c r="G58" s="16"/>
      <c r="H58" s="16"/>
      <c r="I58" s="15" t="s">
        <v>191</v>
      </c>
      <c r="L58" s="17" t="s">
        <v>741</v>
      </c>
    </row>
    <row r="59" spans="1:12" ht="20.25" hidden="1" customHeight="1">
      <c r="A59" s="12" t="s">
        <v>568</v>
      </c>
      <c r="B59" s="12" t="s">
        <v>189</v>
      </c>
      <c r="C59" s="12" t="s">
        <v>14</v>
      </c>
      <c r="D59" s="16" t="s">
        <v>44</v>
      </c>
      <c r="E59" s="68" t="s">
        <v>192</v>
      </c>
      <c r="F59" s="16"/>
      <c r="G59" s="16"/>
      <c r="H59" s="16"/>
      <c r="I59" s="15" t="s">
        <v>193</v>
      </c>
    </row>
    <row r="60" spans="1:12" ht="20.25" hidden="1" customHeight="1">
      <c r="A60" s="12" t="s">
        <v>568</v>
      </c>
      <c r="B60" s="12" t="s">
        <v>189</v>
      </c>
      <c r="C60" s="12" t="s">
        <v>14</v>
      </c>
      <c r="D60" s="16" t="s">
        <v>194</v>
      </c>
      <c r="E60" s="68" t="s">
        <v>195</v>
      </c>
      <c r="F60" s="16"/>
      <c r="G60" s="16"/>
      <c r="H60" s="16"/>
      <c r="I60" s="15" t="s">
        <v>196</v>
      </c>
    </row>
    <row r="61" spans="1:12" ht="20.25" hidden="1" customHeight="1">
      <c r="A61" s="12" t="s">
        <v>568</v>
      </c>
      <c r="B61" s="12" t="s">
        <v>189</v>
      </c>
      <c r="C61" s="12" t="s">
        <v>14</v>
      </c>
      <c r="D61" s="16" t="s">
        <v>197</v>
      </c>
      <c r="E61" s="68" t="s">
        <v>177</v>
      </c>
      <c r="F61" s="16"/>
      <c r="G61" s="16"/>
      <c r="H61" s="16"/>
      <c r="I61" s="15" t="s">
        <v>198</v>
      </c>
    </row>
    <row r="62" spans="1:12" ht="20.25" customHeight="1">
      <c r="A62" s="12" t="s">
        <v>568</v>
      </c>
      <c r="B62" s="12" t="s">
        <v>189</v>
      </c>
      <c r="C62" s="12" t="s">
        <v>229</v>
      </c>
      <c r="D62" s="12" t="s">
        <v>763</v>
      </c>
      <c r="F62" s="17" t="s">
        <v>653</v>
      </c>
    </row>
    <row r="63" spans="1:12" ht="20.25" customHeight="1">
      <c r="A63" s="12" t="s">
        <v>568</v>
      </c>
      <c r="B63" s="12" t="s">
        <v>189</v>
      </c>
      <c r="C63" s="12" t="s">
        <v>229</v>
      </c>
      <c r="D63" s="12" t="s">
        <v>764</v>
      </c>
      <c r="F63" s="17" t="s">
        <v>653</v>
      </c>
    </row>
    <row r="64" spans="1:12" ht="20.25" customHeight="1">
      <c r="A64" s="12" t="s">
        <v>568</v>
      </c>
      <c r="B64" s="12" t="s">
        <v>654</v>
      </c>
      <c r="C64" s="12" t="s">
        <v>229</v>
      </c>
      <c r="D64" s="12" t="s">
        <v>765</v>
      </c>
      <c r="F64" s="17" t="s">
        <v>655</v>
      </c>
    </row>
    <row r="65" spans="1:12" ht="20.25" customHeight="1">
      <c r="A65" s="12" t="s">
        <v>568</v>
      </c>
      <c r="B65" s="12" t="s">
        <v>654</v>
      </c>
      <c r="C65" s="12" t="s">
        <v>229</v>
      </c>
      <c r="D65" s="12" t="s">
        <v>764</v>
      </c>
      <c r="F65" s="17" t="s">
        <v>655</v>
      </c>
    </row>
    <row r="66" spans="1:12" ht="20.25" hidden="1" customHeight="1">
      <c r="A66" s="35" t="s">
        <v>549</v>
      </c>
      <c r="B66" s="35" t="s">
        <v>146</v>
      </c>
      <c r="C66" s="35" t="s">
        <v>14</v>
      </c>
      <c r="D66" s="71" t="s">
        <v>148</v>
      </c>
      <c r="E66" s="74" t="s">
        <v>130</v>
      </c>
      <c r="F66" s="71"/>
      <c r="G66" s="71"/>
      <c r="H66" s="71"/>
      <c r="I66" s="36" t="s">
        <v>11</v>
      </c>
      <c r="J66" s="36" t="s">
        <v>149</v>
      </c>
      <c r="K66" s="36"/>
      <c r="L66" s="15" t="s">
        <v>741</v>
      </c>
    </row>
    <row r="67" spans="1:12" ht="20.25" hidden="1" customHeight="1">
      <c r="A67" s="35" t="s">
        <v>549</v>
      </c>
      <c r="B67" s="35" t="s">
        <v>146</v>
      </c>
      <c r="C67" s="35" t="s">
        <v>14</v>
      </c>
      <c r="D67" s="72" t="s">
        <v>150</v>
      </c>
      <c r="E67" s="75" t="s">
        <v>151</v>
      </c>
      <c r="F67" s="72"/>
      <c r="G67" s="72"/>
      <c r="H67" s="72"/>
      <c r="I67" s="37" t="s">
        <v>11</v>
      </c>
      <c r="J67" s="37" t="s">
        <v>152</v>
      </c>
      <c r="K67" s="37"/>
    </row>
    <row r="68" spans="1:12" ht="20.25" hidden="1" customHeight="1">
      <c r="A68" s="35" t="s">
        <v>549</v>
      </c>
      <c r="B68" s="35" t="s">
        <v>146</v>
      </c>
      <c r="C68" s="35" t="s">
        <v>14</v>
      </c>
      <c r="D68" s="71" t="s">
        <v>153</v>
      </c>
      <c r="E68" s="74" t="s">
        <v>154</v>
      </c>
      <c r="F68" s="71"/>
      <c r="G68" s="71"/>
      <c r="H68" s="71"/>
      <c r="I68" s="36" t="s">
        <v>11</v>
      </c>
      <c r="J68" s="36" t="s">
        <v>155</v>
      </c>
      <c r="K68" s="36"/>
    </row>
    <row r="69" spans="1:12" ht="20.25" hidden="1" customHeight="1">
      <c r="A69" s="35" t="s">
        <v>549</v>
      </c>
      <c r="B69" s="35" t="s">
        <v>146</v>
      </c>
      <c r="C69" s="35" t="s">
        <v>14</v>
      </c>
      <c r="D69" s="72" t="s">
        <v>156</v>
      </c>
      <c r="E69" s="75" t="s">
        <v>157</v>
      </c>
      <c r="F69" s="72"/>
      <c r="G69" s="72"/>
      <c r="H69" s="72"/>
      <c r="I69" s="37" t="s">
        <v>11</v>
      </c>
      <c r="J69" s="37" t="s">
        <v>158</v>
      </c>
      <c r="K69" s="37"/>
    </row>
    <row r="70" spans="1:12" ht="20.25" hidden="1" customHeight="1">
      <c r="A70" s="35" t="s">
        <v>549</v>
      </c>
      <c r="B70" s="35" t="s">
        <v>146</v>
      </c>
      <c r="C70" s="35" t="s">
        <v>14</v>
      </c>
      <c r="D70" s="71" t="s">
        <v>159</v>
      </c>
      <c r="E70" s="74" t="s">
        <v>157</v>
      </c>
      <c r="F70" s="71"/>
      <c r="G70" s="71"/>
      <c r="H70" s="71"/>
      <c r="I70" s="36" t="s">
        <v>11</v>
      </c>
      <c r="J70" s="36" t="s">
        <v>160</v>
      </c>
      <c r="K70" s="36"/>
    </row>
    <row r="71" spans="1:12" ht="20.25" hidden="1" customHeight="1">
      <c r="A71" s="12" t="s">
        <v>549</v>
      </c>
      <c r="B71" s="12" t="s">
        <v>192</v>
      </c>
      <c r="C71" s="12" t="s">
        <v>14</v>
      </c>
      <c r="D71" s="16" t="s">
        <v>161</v>
      </c>
      <c r="E71" s="68" t="s">
        <v>162</v>
      </c>
      <c r="F71" s="16"/>
      <c r="G71" s="16"/>
      <c r="H71" s="16"/>
      <c r="I71" s="15" t="s">
        <v>163</v>
      </c>
      <c r="J71" s="15" t="s">
        <v>164</v>
      </c>
      <c r="K71" s="15"/>
    </row>
    <row r="72" spans="1:12" ht="20.25" hidden="1" customHeight="1">
      <c r="A72" s="12" t="s">
        <v>549</v>
      </c>
      <c r="B72" s="12" t="s">
        <v>192</v>
      </c>
      <c r="C72" s="12" t="s">
        <v>14</v>
      </c>
      <c r="D72" s="16" t="s">
        <v>165</v>
      </c>
      <c r="E72" s="68" t="s">
        <v>162</v>
      </c>
      <c r="F72" s="16"/>
      <c r="G72" s="16"/>
      <c r="H72" s="16"/>
      <c r="I72" s="15" t="s">
        <v>163</v>
      </c>
      <c r="J72" s="15" t="s">
        <v>166</v>
      </c>
      <c r="K72" s="15"/>
    </row>
    <row r="73" spans="1:12" ht="20.25" hidden="1" customHeight="1">
      <c r="A73" s="12" t="s">
        <v>549</v>
      </c>
      <c r="B73" s="12" t="s">
        <v>192</v>
      </c>
      <c r="C73" s="12" t="s">
        <v>14</v>
      </c>
      <c r="D73" s="16" t="s">
        <v>167</v>
      </c>
      <c r="E73" s="68" t="s">
        <v>162</v>
      </c>
      <c r="F73" s="16"/>
      <c r="G73" s="16"/>
      <c r="H73" s="16"/>
      <c r="I73" s="15" t="s">
        <v>163</v>
      </c>
      <c r="J73" s="15" t="s">
        <v>168</v>
      </c>
      <c r="K73" s="15"/>
    </row>
    <row r="74" spans="1:12" ht="20.25" hidden="1" customHeight="1">
      <c r="A74" s="12" t="s">
        <v>549</v>
      </c>
      <c r="B74" s="12" t="s">
        <v>192</v>
      </c>
      <c r="C74" s="12" t="s">
        <v>14</v>
      </c>
      <c r="D74" s="16" t="s">
        <v>169</v>
      </c>
      <c r="E74" s="68" t="s">
        <v>162</v>
      </c>
      <c r="F74" s="16"/>
      <c r="G74" s="16"/>
      <c r="H74" s="16"/>
      <c r="I74" s="15" t="s">
        <v>163</v>
      </c>
      <c r="J74" s="15" t="s">
        <v>170</v>
      </c>
      <c r="K74" s="15"/>
    </row>
    <row r="75" spans="1:12" ht="20.25" hidden="1" customHeight="1">
      <c r="A75" s="12" t="s">
        <v>549</v>
      </c>
      <c r="B75" s="12" t="s">
        <v>192</v>
      </c>
      <c r="C75" s="12" t="s">
        <v>14</v>
      </c>
      <c r="D75" s="16" t="s">
        <v>171</v>
      </c>
      <c r="E75" s="68" t="s">
        <v>162</v>
      </c>
      <c r="F75" s="16"/>
      <c r="G75" s="16"/>
      <c r="H75" s="16"/>
      <c r="I75" s="15" t="s">
        <v>163</v>
      </c>
      <c r="J75" s="15" t="s">
        <v>172</v>
      </c>
      <c r="K75" s="15"/>
    </row>
    <row r="76" spans="1:12" ht="20.25" hidden="1" customHeight="1">
      <c r="A76" s="12" t="s">
        <v>549</v>
      </c>
      <c r="B76" s="12" t="s">
        <v>192</v>
      </c>
      <c r="C76" s="12" t="s">
        <v>14</v>
      </c>
      <c r="D76" s="16" t="s">
        <v>173</v>
      </c>
      <c r="E76" s="68" t="s">
        <v>162</v>
      </c>
      <c r="F76" s="16"/>
      <c r="G76" s="16"/>
      <c r="H76" s="16"/>
      <c r="I76" s="15" t="s">
        <v>163</v>
      </c>
      <c r="J76" s="15" t="s">
        <v>174</v>
      </c>
      <c r="K76" s="15"/>
    </row>
    <row r="77" spans="1:12" ht="20.25" hidden="1" customHeight="1">
      <c r="A77" s="12" t="s">
        <v>549</v>
      </c>
      <c r="B77" s="12" t="s">
        <v>192</v>
      </c>
      <c r="C77" s="12" t="s">
        <v>14</v>
      </c>
      <c r="D77" s="16" t="s">
        <v>175</v>
      </c>
      <c r="E77" s="68" t="s">
        <v>137</v>
      </c>
      <c r="F77" s="16"/>
      <c r="G77" s="16"/>
      <c r="H77" s="16"/>
      <c r="I77" s="15" t="s">
        <v>163</v>
      </c>
      <c r="J77" s="15" t="s">
        <v>176</v>
      </c>
      <c r="K77" s="15"/>
    </row>
    <row r="78" spans="1:12" ht="20.25" customHeight="1">
      <c r="A78" s="12" t="s">
        <v>549</v>
      </c>
      <c r="B78" s="12" t="s">
        <v>648</v>
      </c>
      <c r="C78" s="12" t="s">
        <v>229</v>
      </c>
      <c r="D78" s="12" t="s">
        <v>758</v>
      </c>
      <c r="F78" s="17" t="s">
        <v>649</v>
      </c>
      <c r="G78" s="12" t="s">
        <v>761</v>
      </c>
    </row>
    <row r="79" spans="1:12" ht="20.25" customHeight="1">
      <c r="A79" s="12" t="s">
        <v>549</v>
      </c>
      <c r="B79" s="12" t="s">
        <v>648</v>
      </c>
      <c r="C79" s="12" t="s">
        <v>229</v>
      </c>
      <c r="D79" s="12" t="s">
        <v>759</v>
      </c>
      <c r="F79" s="17" t="s">
        <v>649</v>
      </c>
      <c r="G79" s="12" t="s">
        <v>760</v>
      </c>
    </row>
    <row r="80" spans="1:12" ht="20.25" customHeight="1">
      <c r="A80" s="12" t="s">
        <v>549</v>
      </c>
      <c r="B80" s="12" t="s">
        <v>650</v>
      </c>
      <c r="C80" s="12" t="s">
        <v>229</v>
      </c>
      <c r="D80" s="12" t="s">
        <v>758</v>
      </c>
      <c r="F80" s="17" t="s">
        <v>651</v>
      </c>
      <c r="G80" s="12" t="s">
        <v>761</v>
      </c>
    </row>
    <row r="81" spans="1:11" ht="20.25" customHeight="1">
      <c r="A81" s="12" t="s">
        <v>549</v>
      </c>
      <c r="B81" s="12" t="s">
        <v>650</v>
      </c>
      <c r="C81" s="12" t="s">
        <v>229</v>
      </c>
      <c r="D81" s="12" t="s">
        <v>759</v>
      </c>
      <c r="F81" s="17" t="s">
        <v>651</v>
      </c>
      <c r="G81" s="12" t="s">
        <v>762</v>
      </c>
    </row>
    <row r="82" spans="1:11" ht="20.25" customHeight="1">
      <c r="A82" s="12" t="s">
        <v>549</v>
      </c>
      <c r="B82" s="12" t="s">
        <v>551</v>
      </c>
      <c r="C82" s="12" t="s">
        <v>229</v>
      </c>
      <c r="F82" s="17" t="s">
        <v>812</v>
      </c>
      <c r="K82" s="12" t="s">
        <v>580</v>
      </c>
    </row>
    <row r="83" spans="1:11" ht="20.25" customHeight="1">
      <c r="A83" s="12" t="s">
        <v>549</v>
      </c>
      <c r="B83" s="12" t="s">
        <v>560</v>
      </c>
      <c r="C83" s="12" t="s">
        <v>229</v>
      </c>
      <c r="F83" s="17" t="s">
        <v>561</v>
      </c>
      <c r="K83" s="12" t="s">
        <v>796</v>
      </c>
    </row>
    <row r="84" spans="1:11" ht="20.25" customHeight="1">
      <c r="A84" s="12" t="s">
        <v>437</v>
      </c>
      <c r="B84" s="12" t="s">
        <v>639</v>
      </c>
      <c r="C84" s="12" t="s">
        <v>229</v>
      </c>
      <c r="D84" s="70" t="s">
        <v>1023</v>
      </c>
    </row>
    <row r="85" spans="1:11" ht="20.25" hidden="1" customHeight="1">
      <c r="A85" s="12" t="s">
        <v>568</v>
      </c>
      <c r="B85" s="12" t="s">
        <v>146</v>
      </c>
      <c r="C85" s="12" t="s">
        <v>14</v>
      </c>
      <c r="D85" s="12" t="s">
        <v>148</v>
      </c>
    </row>
    <row r="86" spans="1:11" ht="20.25" hidden="1" customHeight="1">
      <c r="A86" s="12" t="s">
        <v>568</v>
      </c>
      <c r="B86" s="12" t="s">
        <v>146</v>
      </c>
      <c r="C86" s="12" t="s">
        <v>14</v>
      </c>
      <c r="D86" s="12" t="s">
        <v>150</v>
      </c>
    </row>
    <row r="87" spans="1:11" ht="20.25" hidden="1" customHeight="1">
      <c r="A87" s="12" t="s">
        <v>568</v>
      </c>
      <c r="B87" s="12" t="s">
        <v>146</v>
      </c>
      <c r="C87" s="12" t="s">
        <v>14</v>
      </c>
      <c r="D87" s="12" t="s">
        <v>153</v>
      </c>
    </row>
    <row r="88" spans="1:11" ht="20.25" hidden="1" customHeight="1">
      <c r="A88" s="12" t="s">
        <v>568</v>
      </c>
      <c r="B88" s="12" t="s">
        <v>146</v>
      </c>
      <c r="C88" s="12" t="s">
        <v>14</v>
      </c>
      <c r="D88" s="12" t="s">
        <v>156</v>
      </c>
    </row>
    <row r="89" spans="1:11" ht="20.25" hidden="1" customHeight="1">
      <c r="A89" s="12" t="s">
        <v>568</v>
      </c>
      <c r="B89" s="12" t="s">
        <v>146</v>
      </c>
      <c r="C89" s="12" t="s">
        <v>14</v>
      </c>
      <c r="D89" s="12" t="s">
        <v>159</v>
      </c>
    </row>
    <row r="90" spans="1:11" ht="20.25" hidden="1" customHeight="1">
      <c r="A90" s="12" t="s">
        <v>568</v>
      </c>
      <c r="B90" s="12" t="s">
        <v>192</v>
      </c>
      <c r="C90" s="12" t="s">
        <v>14</v>
      </c>
      <c r="D90" s="12" t="s">
        <v>161</v>
      </c>
    </row>
    <row r="91" spans="1:11" ht="20.25" hidden="1" customHeight="1">
      <c r="A91" s="12" t="s">
        <v>568</v>
      </c>
      <c r="B91" s="12" t="s">
        <v>192</v>
      </c>
      <c r="C91" s="12" t="s">
        <v>14</v>
      </c>
      <c r="D91" s="12" t="s">
        <v>165</v>
      </c>
    </row>
    <row r="92" spans="1:11" ht="20.25" hidden="1" customHeight="1">
      <c r="A92" s="12" t="s">
        <v>568</v>
      </c>
      <c r="B92" s="12" t="s">
        <v>192</v>
      </c>
      <c r="C92" s="12" t="s">
        <v>14</v>
      </c>
      <c r="D92" s="12" t="s">
        <v>167</v>
      </c>
    </row>
    <row r="93" spans="1:11" ht="20.25" hidden="1" customHeight="1">
      <c r="A93" s="12" t="s">
        <v>568</v>
      </c>
      <c r="B93" s="12" t="s">
        <v>192</v>
      </c>
      <c r="C93" s="12" t="s">
        <v>14</v>
      </c>
      <c r="D93" s="12" t="s">
        <v>169</v>
      </c>
    </row>
    <row r="94" spans="1:11" ht="20.25" hidden="1" customHeight="1">
      <c r="A94" s="12" t="s">
        <v>568</v>
      </c>
      <c r="B94" s="12" t="s">
        <v>192</v>
      </c>
      <c r="C94" s="12" t="s">
        <v>14</v>
      </c>
      <c r="D94" s="12" t="s">
        <v>171</v>
      </c>
    </row>
    <row r="95" spans="1:11" ht="20.25" hidden="1" customHeight="1">
      <c r="A95" s="12" t="s">
        <v>568</v>
      </c>
      <c r="B95" s="12" t="s">
        <v>192</v>
      </c>
      <c r="C95" s="12" t="s">
        <v>14</v>
      </c>
      <c r="D95" s="12" t="s">
        <v>173</v>
      </c>
    </row>
    <row r="96" spans="1:11" ht="20.25" hidden="1" customHeight="1">
      <c r="A96" s="12" t="s">
        <v>568</v>
      </c>
      <c r="B96" s="12" t="s">
        <v>192</v>
      </c>
      <c r="C96" s="12" t="s">
        <v>14</v>
      </c>
      <c r="D96" s="12" t="s">
        <v>175</v>
      </c>
    </row>
  </sheetData>
  <mergeCells count="1">
    <mergeCell ref="P40:P47"/>
  </mergeCells>
  <phoneticPr fontId="26" type="noConversion"/>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A648B947-B5FA-47D7-ADAE-5586A0CE293A}">
          <x14:formula1>
            <xm:f>'Directory &amp; Classes Mapping'!$E$2:$E$27</xm:f>
          </x14:formula1>
          <xm:sqref>K2:K1048576</xm:sqref>
        </x14:dataValidation>
        <x14:dataValidation type="list" allowBlank="1" showInputMessage="1" showErrorMessage="1" xr:uid="{3A3869FC-B2CE-4D93-B1E7-8D227A71E160}">
          <x14:formula1>
            <xm:f>'Directory &amp; Classes Mapping'!$C$2:$C$3</xm:f>
          </x14:formula1>
          <xm:sqref>C2:C1048576</xm:sqref>
        </x14:dataValidation>
        <x14:dataValidation type="list" allowBlank="1" showInputMessage="1" showErrorMessage="1" xr:uid="{679FB7B1-307C-44D4-8EBF-8ECC9EAD2FCE}">
          <x14:formula1>
            <xm:f>'Directory &amp; Classes Mapping'!$C$6:$C$15</xm:f>
          </x14:formula1>
          <xm:sqref>A2:A1048576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EF18D-C788-40EE-8622-610D3F3171DB}">
  <dimension ref="A1:D27"/>
  <sheetViews>
    <sheetView zoomScale="115" zoomScaleNormal="115" workbookViewId="0">
      <selection activeCell="B7" sqref="B7"/>
    </sheetView>
  </sheetViews>
  <sheetFormatPr baseColWidth="10" defaultColWidth="9.140625" defaultRowHeight="15"/>
  <cols>
    <col min="1" max="1" width="44.5703125" style="32" bestFit="1" customWidth="1"/>
    <col min="2" max="2" width="29.140625" style="32" customWidth="1"/>
    <col min="3" max="3" width="74.42578125" customWidth="1"/>
    <col min="4" max="4" width="36" customWidth="1"/>
    <col min="5" max="5" width="28.7109375" customWidth="1"/>
  </cols>
  <sheetData>
    <row r="1" spans="1:4">
      <c r="A1" s="32" t="s">
        <v>714</v>
      </c>
      <c r="B1" s="32" t="s">
        <v>569</v>
      </c>
      <c r="C1" t="s">
        <v>638</v>
      </c>
      <c r="D1" t="s">
        <v>637</v>
      </c>
    </row>
    <row r="2" spans="1:4">
      <c r="A2" s="9" t="s">
        <v>636</v>
      </c>
      <c r="B2" s="124" t="s">
        <v>639</v>
      </c>
      <c r="C2" s="5" t="s">
        <v>640</v>
      </c>
      <c r="D2" s="6" t="s">
        <v>641</v>
      </c>
    </row>
    <row r="3" spans="1:4">
      <c r="A3" s="9"/>
      <c r="B3" s="124" t="s">
        <v>533</v>
      </c>
      <c r="C3" s="5" t="s">
        <v>642</v>
      </c>
      <c r="D3" s="6" t="s">
        <v>643</v>
      </c>
    </row>
    <row r="4" spans="1:4" ht="38.25">
      <c r="A4" s="10" t="s">
        <v>644</v>
      </c>
      <c r="B4" s="124" t="s">
        <v>645</v>
      </c>
      <c r="C4" s="5" t="s">
        <v>646</v>
      </c>
      <c r="D4" s="6" t="s">
        <v>659</v>
      </c>
    </row>
    <row r="5" spans="1:4" ht="75">
      <c r="A5" s="10" t="s">
        <v>647</v>
      </c>
      <c r="B5" s="124" t="s">
        <v>648</v>
      </c>
      <c r="C5" s="3" t="s">
        <v>649</v>
      </c>
      <c r="D5" s="6" t="s">
        <v>657</v>
      </c>
    </row>
    <row r="6" spans="1:4" ht="25.5">
      <c r="A6" s="10"/>
      <c r="B6" s="11" t="s">
        <v>650</v>
      </c>
      <c r="C6" s="19" t="s">
        <v>651</v>
      </c>
      <c r="D6" s="6" t="s">
        <v>658</v>
      </c>
    </row>
    <row r="7" spans="1:4" ht="63.75" customHeight="1">
      <c r="A7" s="32" t="s">
        <v>652</v>
      </c>
      <c r="B7" s="124" t="s">
        <v>189</v>
      </c>
      <c r="C7" s="5" t="s">
        <v>653</v>
      </c>
      <c r="D7" s="6" t="s">
        <v>660</v>
      </c>
    </row>
    <row r="8" spans="1:4" ht="25.5">
      <c r="B8" s="32" t="s">
        <v>654</v>
      </c>
      <c r="C8" s="5" t="s">
        <v>655</v>
      </c>
      <c r="D8" s="6" t="s">
        <v>656</v>
      </c>
    </row>
    <row r="9" spans="1:4">
      <c r="A9" s="11" t="s">
        <v>661</v>
      </c>
      <c r="B9" s="32" t="s">
        <v>662</v>
      </c>
      <c r="C9" s="5" t="s">
        <v>663</v>
      </c>
      <c r="D9" t="s">
        <v>664</v>
      </c>
    </row>
    <row r="10" spans="1:4">
      <c r="A10" s="11"/>
      <c r="B10" s="32" t="s">
        <v>665</v>
      </c>
      <c r="C10" s="5" t="s">
        <v>666</v>
      </c>
      <c r="D10" s="6" t="s">
        <v>667</v>
      </c>
    </row>
    <row r="11" spans="1:4">
      <c r="A11" s="11"/>
      <c r="B11" s="32" t="s">
        <v>668</v>
      </c>
      <c r="C11" s="5" t="s">
        <v>669</v>
      </c>
      <c r="D11" s="6" t="s">
        <v>670</v>
      </c>
    </row>
    <row r="12" spans="1:4">
      <c r="A12" s="11"/>
      <c r="B12" s="124" t="s">
        <v>671</v>
      </c>
      <c r="C12" s="5" t="s">
        <v>672</v>
      </c>
      <c r="D12" s="6" t="s">
        <v>673</v>
      </c>
    </row>
    <row r="13" spans="1:4">
      <c r="A13" s="11"/>
      <c r="B13" s="124" t="s">
        <v>674</v>
      </c>
      <c r="C13" s="5" t="s">
        <v>675</v>
      </c>
      <c r="D13" s="6" t="s">
        <v>676</v>
      </c>
    </row>
    <row r="14" spans="1:4">
      <c r="A14" s="11"/>
      <c r="B14" s="124" t="s">
        <v>677</v>
      </c>
      <c r="C14" s="5" t="s">
        <v>678</v>
      </c>
      <c r="D14" s="6" t="s">
        <v>679</v>
      </c>
    </row>
    <row r="15" spans="1:4">
      <c r="A15" s="11"/>
      <c r="B15" s="124" t="s">
        <v>680</v>
      </c>
      <c r="C15" s="5" t="s">
        <v>681</v>
      </c>
      <c r="D15" s="6" t="s">
        <v>682</v>
      </c>
    </row>
    <row r="16" spans="1:4">
      <c r="A16" s="11"/>
      <c r="B16" s="124" t="s">
        <v>683</v>
      </c>
      <c r="C16" s="5" t="s">
        <v>684</v>
      </c>
      <c r="D16" s="6" t="s">
        <v>685</v>
      </c>
    </row>
    <row r="17" spans="1:4" ht="25.5">
      <c r="A17" s="32" t="s">
        <v>686</v>
      </c>
      <c r="B17" s="124" t="s">
        <v>687</v>
      </c>
      <c r="C17" s="5" t="s">
        <v>688</v>
      </c>
      <c r="D17" s="6" t="s">
        <v>689</v>
      </c>
    </row>
    <row r="18" spans="1:4" ht="45">
      <c r="A18" s="32" t="s">
        <v>690</v>
      </c>
      <c r="B18" s="124" t="s">
        <v>581</v>
      </c>
      <c r="C18" s="5" t="s">
        <v>691</v>
      </c>
      <c r="D18" s="8" t="s">
        <v>692</v>
      </c>
    </row>
    <row r="19" spans="1:4">
      <c r="A19" s="32" t="s">
        <v>693</v>
      </c>
      <c r="B19" s="124" t="s">
        <v>694</v>
      </c>
      <c r="C19" s="5" t="s">
        <v>695</v>
      </c>
      <c r="D19" s="6" t="s">
        <v>696</v>
      </c>
    </row>
    <row r="20" spans="1:4">
      <c r="B20" s="124" t="s">
        <v>697</v>
      </c>
      <c r="C20" s="5" t="s">
        <v>698</v>
      </c>
      <c r="D20" s="6" t="s">
        <v>699</v>
      </c>
    </row>
    <row r="21" spans="1:4" ht="25.5">
      <c r="B21" s="124" t="s">
        <v>700</v>
      </c>
      <c r="C21" s="5" t="s">
        <v>701</v>
      </c>
      <c r="D21" s="6" t="s">
        <v>702</v>
      </c>
    </row>
    <row r="22" spans="1:4">
      <c r="A22" s="32" t="s">
        <v>703</v>
      </c>
      <c r="B22" s="124" t="s">
        <v>731</v>
      </c>
      <c r="C22" s="5" t="s">
        <v>704</v>
      </c>
      <c r="D22" s="6" t="s">
        <v>705</v>
      </c>
    </row>
    <row r="23" spans="1:4">
      <c r="A23" s="7"/>
      <c r="B23" s="124" t="s">
        <v>732</v>
      </c>
      <c r="C23" s="5"/>
      <c r="D23" s="6"/>
    </row>
    <row r="24" spans="1:4">
      <c r="B24" s="124" t="s">
        <v>733</v>
      </c>
      <c r="C24" s="5"/>
      <c r="D24" s="6" t="s">
        <v>706</v>
      </c>
    </row>
    <row r="25" spans="1:4">
      <c r="A25" s="7"/>
      <c r="B25" s="124" t="s">
        <v>707</v>
      </c>
      <c r="C25" s="5" t="s">
        <v>708</v>
      </c>
      <c r="D25" s="6" t="s">
        <v>709</v>
      </c>
    </row>
    <row r="26" spans="1:4">
      <c r="A26" s="7"/>
      <c r="B26" s="124"/>
      <c r="C26" s="5"/>
      <c r="D26" s="6" t="s">
        <v>710</v>
      </c>
    </row>
    <row r="27" spans="1:4">
      <c r="A27" s="7"/>
      <c r="B27" s="124" t="s">
        <v>711</v>
      </c>
      <c r="C27" s="5" t="s">
        <v>712</v>
      </c>
      <c r="D27" s="6" t="s">
        <v>713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A49A7-E570-40F6-AB3F-6D49EFF07F4F}">
  <sheetPr>
    <tabColor rgb="FFFF0000"/>
  </sheetPr>
  <dimension ref="A1:E8"/>
  <sheetViews>
    <sheetView topLeftCell="A7" workbookViewId="0">
      <selection sqref="A1:E8"/>
    </sheetView>
  </sheetViews>
  <sheetFormatPr baseColWidth="10" defaultColWidth="9.140625" defaultRowHeight="15"/>
  <cols>
    <col min="1" max="1" width="39.42578125" customWidth="1"/>
    <col min="2" max="2" width="75" customWidth="1"/>
    <col min="3" max="3" width="40.85546875" customWidth="1"/>
    <col min="5" max="5" width="71.5703125" customWidth="1"/>
  </cols>
  <sheetData>
    <row r="1" spans="1:5">
      <c r="A1" s="105" t="s">
        <v>290</v>
      </c>
      <c r="B1" s="105"/>
    </row>
    <row r="2" spans="1:5">
      <c r="E2" s="106" t="e" vm="1">
        <v>#VALUE!</v>
      </c>
    </row>
    <row r="3" spans="1:5" ht="105">
      <c r="A3" s="21" t="s">
        <v>289</v>
      </c>
      <c r="B3" s="5" t="s">
        <v>291</v>
      </c>
      <c r="C3" s="5" t="s">
        <v>292</v>
      </c>
      <c r="E3" s="106"/>
    </row>
    <row r="4" spans="1:5" ht="60">
      <c r="A4" s="19" t="s">
        <v>293</v>
      </c>
      <c r="B4" s="5" t="s">
        <v>294</v>
      </c>
      <c r="C4" s="5" t="s">
        <v>295</v>
      </c>
      <c r="E4" s="106"/>
    </row>
    <row r="5" spans="1:5" ht="90">
      <c r="A5" s="19" t="s">
        <v>296</v>
      </c>
      <c r="B5" s="5" t="s">
        <v>297</v>
      </c>
      <c r="C5" s="19" t="s">
        <v>298</v>
      </c>
      <c r="E5" s="106"/>
    </row>
    <row r="6" spans="1:5" ht="90">
      <c r="A6" t="s">
        <v>299</v>
      </c>
      <c r="B6" s="5" t="s">
        <v>300</v>
      </c>
      <c r="C6" s="5" t="s">
        <v>301</v>
      </c>
      <c r="E6" s="106"/>
    </row>
    <row r="7" spans="1:5" ht="225">
      <c r="A7" s="19" t="s">
        <v>302</v>
      </c>
      <c r="B7" s="5" t="s">
        <v>303</v>
      </c>
      <c r="C7" s="5" t="s">
        <v>304</v>
      </c>
      <c r="E7" s="106"/>
    </row>
    <row r="8" spans="1:5" ht="105">
      <c r="A8" s="19" t="s">
        <v>305</v>
      </c>
      <c r="B8" s="5" t="s">
        <v>306</v>
      </c>
      <c r="C8" s="5" t="s">
        <v>307</v>
      </c>
      <c r="E8" s="106"/>
    </row>
  </sheetData>
  <mergeCells count="2">
    <mergeCell ref="A1:B1"/>
    <mergeCell ref="E2:E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5CB53-232A-4B40-97CC-36742703178C}">
  <sheetPr>
    <tabColor rgb="FFC00000"/>
  </sheetPr>
  <dimension ref="A1"/>
  <sheetViews>
    <sheetView workbookViewId="0">
      <selection activeCell="H23" sqref="H23"/>
    </sheetView>
  </sheetViews>
  <sheetFormatPr baseColWidth="10" defaultColWidth="9.140625"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37"/>
  <sheetViews>
    <sheetView workbookViewId="0">
      <selection activeCell="H23" sqref="H23"/>
    </sheetView>
  </sheetViews>
  <sheetFormatPr baseColWidth="10" defaultColWidth="9.140625" defaultRowHeight="15"/>
  <cols>
    <col min="1" max="1" width="24.42578125" bestFit="1" customWidth="1"/>
    <col min="2" max="2" width="183" bestFit="1" customWidth="1"/>
    <col min="3" max="3" width="26" bestFit="1" customWidth="1"/>
    <col min="4" max="4" width="25.85546875" bestFit="1" customWidth="1"/>
  </cols>
  <sheetData>
    <row r="1" spans="1:4">
      <c r="A1" t="s">
        <v>0</v>
      </c>
      <c r="B1" t="s">
        <v>1</v>
      </c>
    </row>
    <row r="2" spans="1:4">
      <c r="A2" t="s">
        <v>2</v>
      </c>
      <c r="B2" t="s">
        <v>357</v>
      </c>
    </row>
    <row r="3" spans="1:4">
      <c r="A3" t="s">
        <v>3</v>
      </c>
      <c r="B3" t="s">
        <v>358</v>
      </c>
    </row>
    <row r="4" spans="1:4">
      <c r="A4" t="s">
        <v>4</v>
      </c>
      <c r="B4" t="s">
        <v>5</v>
      </c>
    </row>
    <row r="5" spans="1:4">
      <c r="A5" t="s">
        <v>6</v>
      </c>
      <c r="B5" t="s">
        <v>359</v>
      </c>
    </row>
    <row r="6" spans="1:4">
      <c r="A6" t="s">
        <v>7</v>
      </c>
      <c r="B6" t="s">
        <v>360</v>
      </c>
    </row>
    <row r="7" spans="1:4">
      <c r="A7" t="s">
        <v>8</v>
      </c>
      <c r="B7" t="s">
        <v>361</v>
      </c>
    </row>
    <row r="8" spans="1:4">
      <c r="A8" t="s">
        <v>10</v>
      </c>
      <c r="B8" t="s">
        <v>11</v>
      </c>
    </row>
    <row r="9" spans="1:4">
      <c r="A9" t="s">
        <v>12</v>
      </c>
      <c r="B9" t="s">
        <v>362</v>
      </c>
    </row>
    <row r="11" spans="1:4">
      <c r="A11" t="s">
        <v>13</v>
      </c>
      <c r="B11" t="s">
        <v>14</v>
      </c>
      <c r="C11" t="s">
        <v>15</v>
      </c>
      <c r="D11" t="s">
        <v>16</v>
      </c>
    </row>
    <row r="12" spans="1:4">
      <c r="A12" t="s">
        <v>363</v>
      </c>
      <c r="B12" t="s">
        <v>17</v>
      </c>
      <c r="C12" t="s">
        <v>364</v>
      </c>
      <c r="D12" t="s">
        <v>133</v>
      </c>
    </row>
    <row r="13" spans="1:4">
      <c r="A13" t="s">
        <v>363</v>
      </c>
      <c r="B13" t="s">
        <v>161</v>
      </c>
      <c r="C13" t="s">
        <v>130</v>
      </c>
      <c r="D13" t="s">
        <v>365</v>
      </c>
    </row>
    <row r="14" spans="1:4">
      <c r="A14" t="s">
        <v>363</v>
      </c>
      <c r="B14" t="s">
        <v>131</v>
      </c>
      <c r="C14" t="s">
        <v>130</v>
      </c>
      <c r="D14" t="s">
        <v>366</v>
      </c>
    </row>
    <row r="15" spans="1:4">
      <c r="A15" t="s">
        <v>363</v>
      </c>
      <c r="B15" t="s">
        <v>367</v>
      </c>
      <c r="C15" t="s">
        <v>137</v>
      </c>
      <c r="D15" t="s">
        <v>368</v>
      </c>
    </row>
    <row r="16" spans="1:4">
      <c r="A16" t="s">
        <v>363</v>
      </c>
      <c r="B16" t="s">
        <v>23</v>
      </c>
      <c r="C16" t="s">
        <v>24</v>
      </c>
      <c r="D16" t="s">
        <v>369</v>
      </c>
    </row>
    <row r="18" spans="1:2">
      <c r="A18" t="s">
        <v>140</v>
      </c>
      <c r="B18" t="s">
        <v>141</v>
      </c>
    </row>
    <row r="19" spans="1:2">
      <c r="A19" t="s">
        <v>363</v>
      </c>
      <c r="B19" t="s">
        <v>370</v>
      </c>
    </row>
    <row r="21" spans="1:2">
      <c r="A21" t="s">
        <v>142</v>
      </c>
      <c r="B21" t="s">
        <v>27</v>
      </c>
    </row>
    <row r="22" spans="1:2">
      <c r="A22" t="s">
        <v>28</v>
      </c>
      <c r="B22" t="s">
        <v>371</v>
      </c>
    </row>
    <row r="23" spans="1:2">
      <c r="A23" t="s">
        <v>29</v>
      </c>
      <c r="B23" t="s">
        <v>372</v>
      </c>
    </row>
    <row r="24" spans="1:2">
      <c r="A24" t="s">
        <v>30</v>
      </c>
      <c r="B24" t="s">
        <v>373</v>
      </c>
    </row>
    <row r="25" spans="1:2">
      <c r="A25" t="s">
        <v>32</v>
      </c>
      <c r="B25" t="s">
        <v>374</v>
      </c>
    </row>
    <row r="26" spans="1:2">
      <c r="A26" t="s">
        <v>33</v>
      </c>
      <c r="B26" t="s">
        <v>375</v>
      </c>
    </row>
    <row r="27" spans="1:2">
      <c r="A27" t="s">
        <v>35</v>
      </c>
      <c r="B27" t="s">
        <v>36</v>
      </c>
    </row>
    <row r="28" spans="1:2">
      <c r="A28" t="s">
        <v>37</v>
      </c>
      <c r="B28" t="s">
        <v>376</v>
      </c>
    </row>
    <row r="30" spans="1:2">
      <c r="A30" t="s">
        <v>38</v>
      </c>
      <c r="B30" t="s">
        <v>39</v>
      </c>
    </row>
    <row r="31" spans="1:2">
      <c r="A31" t="s">
        <v>40</v>
      </c>
      <c r="B31" t="s">
        <v>377</v>
      </c>
    </row>
    <row r="32" spans="1:2">
      <c r="A32" t="s">
        <v>41</v>
      </c>
      <c r="B32" t="s">
        <v>378</v>
      </c>
    </row>
    <row r="33" spans="1:2">
      <c r="A33" t="s">
        <v>42</v>
      </c>
      <c r="B33" t="s">
        <v>379</v>
      </c>
    </row>
    <row r="34" spans="1:2">
      <c r="A34" t="s">
        <v>43</v>
      </c>
      <c r="B34" t="s">
        <v>380</v>
      </c>
    </row>
    <row r="36" spans="1:2">
      <c r="A36" t="s">
        <v>144</v>
      </c>
      <c r="B36" t="s">
        <v>16</v>
      </c>
    </row>
    <row r="37" spans="1:2">
      <c r="A37" t="s">
        <v>145</v>
      </c>
      <c r="B37" t="s">
        <v>381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D35"/>
  <sheetViews>
    <sheetView workbookViewId="0">
      <selection activeCell="H23" sqref="H23"/>
    </sheetView>
  </sheetViews>
  <sheetFormatPr baseColWidth="10" defaultColWidth="9.140625" defaultRowHeight="15"/>
  <cols>
    <col min="1" max="1" width="24.42578125" bestFit="1" customWidth="1"/>
    <col min="2" max="2" width="125.7109375" bestFit="1" customWidth="1"/>
    <col min="3" max="3" width="22.7109375" bestFit="1" customWidth="1"/>
    <col min="4" max="4" width="29.85546875" bestFit="1" customWidth="1"/>
  </cols>
  <sheetData>
    <row r="1" spans="1:4">
      <c r="A1" t="s">
        <v>0</v>
      </c>
      <c r="B1" t="s">
        <v>1</v>
      </c>
    </row>
    <row r="2" spans="1:4">
      <c r="A2" t="s">
        <v>2</v>
      </c>
      <c r="B2" t="s">
        <v>382</v>
      </c>
    </row>
    <row r="3" spans="1:4">
      <c r="A3" t="s">
        <v>3</v>
      </c>
      <c r="B3" t="s">
        <v>383</v>
      </c>
    </row>
    <row r="4" spans="1:4">
      <c r="A4" t="s">
        <v>4</v>
      </c>
      <c r="B4" t="s">
        <v>44</v>
      </c>
    </row>
    <row r="5" spans="1:4">
      <c r="A5" t="s">
        <v>6</v>
      </c>
      <c r="B5" t="s">
        <v>384</v>
      </c>
    </row>
    <row r="6" spans="1:4">
      <c r="A6" t="s">
        <v>7</v>
      </c>
      <c r="B6" t="s">
        <v>45</v>
      </c>
    </row>
    <row r="7" spans="1:4">
      <c r="A7" t="s">
        <v>8</v>
      </c>
      <c r="B7" t="s">
        <v>46</v>
      </c>
    </row>
    <row r="8" spans="1:4">
      <c r="A8" t="s">
        <v>10</v>
      </c>
      <c r="B8" t="s">
        <v>11</v>
      </c>
    </row>
    <row r="9" spans="1:4">
      <c r="A9" t="s">
        <v>12</v>
      </c>
      <c r="B9" t="s">
        <v>47</v>
      </c>
    </row>
    <row r="11" spans="1:4">
      <c r="A11" t="s">
        <v>13</v>
      </c>
      <c r="B11" t="s">
        <v>14</v>
      </c>
      <c r="C11" t="s">
        <v>15</v>
      </c>
      <c r="D11" t="s">
        <v>16</v>
      </c>
    </row>
    <row r="12" spans="1:4">
      <c r="A12" t="s">
        <v>48</v>
      </c>
      <c r="B12" t="s">
        <v>17</v>
      </c>
      <c r="C12" t="s">
        <v>385</v>
      </c>
      <c r="D12" t="s">
        <v>133</v>
      </c>
    </row>
    <row r="13" spans="1:4">
      <c r="A13" t="s">
        <v>48</v>
      </c>
      <c r="B13" t="s">
        <v>386</v>
      </c>
      <c r="C13" t="s">
        <v>21</v>
      </c>
      <c r="D13" t="s">
        <v>387</v>
      </c>
    </row>
    <row r="14" spans="1:4">
      <c r="A14" t="s">
        <v>48</v>
      </c>
      <c r="B14" t="s">
        <v>23</v>
      </c>
      <c r="C14" t="s">
        <v>24</v>
      </c>
      <c r="D14" t="s">
        <v>25</v>
      </c>
    </row>
    <row r="16" spans="1:4">
      <c r="A16" t="s">
        <v>140</v>
      </c>
      <c r="B16" t="s">
        <v>141</v>
      </c>
    </row>
    <row r="17" spans="1:2">
      <c r="A17" t="s">
        <v>48</v>
      </c>
      <c r="B17" t="s">
        <v>388</v>
      </c>
    </row>
    <row r="19" spans="1:2">
      <c r="A19" t="s">
        <v>142</v>
      </c>
      <c r="B19" t="s">
        <v>27</v>
      </c>
    </row>
    <row r="20" spans="1:2">
      <c r="A20" t="s">
        <v>28</v>
      </c>
      <c r="B20" t="s">
        <v>49</v>
      </c>
    </row>
    <row r="21" spans="1:2">
      <c r="A21" t="s">
        <v>29</v>
      </c>
      <c r="B21" t="s">
        <v>382</v>
      </c>
    </row>
    <row r="22" spans="1:2">
      <c r="A22" t="s">
        <v>30</v>
      </c>
      <c r="B22" t="s">
        <v>389</v>
      </c>
    </row>
    <row r="23" spans="1:2">
      <c r="A23" t="s">
        <v>32</v>
      </c>
      <c r="B23" t="s">
        <v>44</v>
      </c>
    </row>
    <row r="24" spans="1:2">
      <c r="A24" t="s">
        <v>33</v>
      </c>
      <c r="B24" t="s">
        <v>390</v>
      </c>
    </row>
    <row r="25" spans="1:2">
      <c r="A25" t="s">
        <v>35</v>
      </c>
      <c r="B25" t="s">
        <v>36</v>
      </c>
    </row>
    <row r="26" spans="1:2">
      <c r="A26" t="s">
        <v>37</v>
      </c>
      <c r="B26" t="s">
        <v>50</v>
      </c>
    </row>
    <row r="28" spans="1:2">
      <c r="A28" t="s">
        <v>38</v>
      </c>
      <c r="B28" t="s">
        <v>39</v>
      </c>
    </row>
    <row r="29" spans="1:2">
      <c r="A29" t="s">
        <v>40</v>
      </c>
      <c r="B29" t="s">
        <v>383</v>
      </c>
    </row>
    <row r="30" spans="1:2">
      <c r="A30" t="s">
        <v>41</v>
      </c>
      <c r="B30" t="s">
        <v>9</v>
      </c>
    </row>
    <row r="31" spans="1:2">
      <c r="A31" t="s">
        <v>42</v>
      </c>
      <c r="B31" t="s">
        <v>51</v>
      </c>
    </row>
    <row r="32" spans="1:2">
      <c r="A32" t="s">
        <v>43</v>
      </c>
      <c r="B32" t="s">
        <v>52</v>
      </c>
    </row>
    <row r="34" spans="1:2">
      <c r="A34" t="s">
        <v>144</v>
      </c>
      <c r="B34" t="s">
        <v>16</v>
      </c>
    </row>
    <row r="35" spans="1:2">
      <c r="A35" t="s">
        <v>145</v>
      </c>
      <c r="B35" t="s">
        <v>391</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sheetPr>
  <dimension ref="A1:D35"/>
  <sheetViews>
    <sheetView workbookViewId="0">
      <selection activeCell="H23" sqref="H23"/>
    </sheetView>
  </sheetViews>
  <sheetFormatPr baseColWidth="10" defaultColWidth="9.140625" defaultRowHeight="15"/>
  <cols>
    <col min="1" max="1" width="27.42578125" bestFit="1" customWidth="1"/>
    <col min="2" max="2" width="144.7109375" bestFit="1" customWidth="1"/>
    <col min="3" max="3" width="29" bestFit="1" customWidth="1"/>
    <col min="4" max="4" width="29.85546875" bestFit="1" customWidth="1"/>
  </cols>
  <sheetData>
    <row r="1" spans="1:4">
      <c r="A1" t="s">
        <v>0</v>
      </c>
      <c r="B1" t="s">
        <v>1</v>
      </c>
    </row>
    <row r="2" spans="1:4">
      <c r="A2" t="s">
        <v>2</v>
      </c>
      <c r="B2" t="s">
        <v>392</v>
      </c>
    </row>
    <row r="3" spans="1:4">
      <c r="A3" t="s">
        <v>3</v>
      </c>
      <c r="B3" t="s">
        <v>393</v>
      </c>
    </row>
    <row r="4" spans="1:4">
      <c r="A4" t="s">
        <v>4</v>
      </c>
      <c r="B4" t="s">
        <v>5</v>
      </c>
    </row>
    <row r="5" spans="1:4">
      <c r="A5" t="s">
        <v>6</v>
      </c>
      <c r="B5" t="s">
        <v>394</v>
      </c>
    </row>
    <row r="6" spans="1:4">
      <c r="A6" t="s">
        <v>7</v>
      </c>
      <c r="B6" t="s">
        <v>53</v>
      </c>
    </row>
    <row r="7" spans="1:4">
      <c r="A7" t="s">
        <v>8</v>
      </c>
      <c r="B7" t="s">
        <v>54</v>
      </c>
    </row>
    <row r="8" spans="1:4">
      <c r="A8" t="s">
        <v>10</v>
      </c>
      <c r="B8" t="s">
        <v>11</v>
      </c>
    </row>
    <row r="9" spans="1:4">
      <c r="A9" t="s">
        <v>12</v>
      </c>
      <c r="B9" t="s">
        <v>55</v>
      </c>
    </row>
    <row r="11" spans="1:4">
      <c r="A11" t="s">
        <v>13</v>
      </c>
      <c r="B11" t="s">
        <v>14</v>
      </c>
      <c r="C11" t="s">
        <v>15</v>
      </c>
      <c r="D11" t="s">
        <v>16</v>
      </c>
    </row>
    <row r="12" spans="1:4">
      <c r="A12" t="s">
        <v>56</v>
      </c>
      <c r="B12" t="s">
        <v>17</v>
      </c>
      <c r="C12" t="s">
        <v>395</v>
      </c>
      <c r="D12" t="s">
        <v>133</v>
      </c>
    </row>
    <row r="13" spans="1:4">
      <c r="A13" t="s">
        <v>56</v>
      </c>
      <c r="B13" t="s">
        <v>386</v>
      </c>
      <c r="C13" t="s">
        <v>21</v>
      </c>
      <c r="D13" t="s">
        <v>387</v>
      </c>
    </row>
    <row r="14" spans="1:4">
      <c r="A14" t="s">
        <v>56</v>
      </c>
      <c r="B14" t="s">
        <v>23</v>
      </c>
      <c r="C14" t="s">
        <v>24</v>
      </c>
      <c r="D14" t="s">
        <v>25</v>
      </c>
    </row>
    <row r="16" spans="1:4">
      <c r="A16" t="s">
        <v>140</v>
      </c>
      <c r="B16" t="s">
        <v>141</v>
      </c>
    </row>
    <row r="17" spans="1:2">
      <c r="A17" t="s">
        <v>56</v>
      </c>
      <c r="B17" t="s">
        <v>396</v>
      </c>
    </row>
    <row r="19" spans="1:2">
      <c r="A19" t="s">
        <v>142</v>
      </c>
      <c r="B19" t="s">
        <v>27</v>
      </c>
    </row>
    <row r="20" spans="1:2">
      <c r="A20" t="s">
        <v>28</v>
      </c>
      <c r="B20" t="s">
        <v>57</v>
      </c>
    </row>
    <row r="21" spans="1:2">
      <c r="A21" t="s">
        <v>29</v>
      </c>
      <c r="B21" t="s">
        <v>392</v>
      </c>
    </row>
    <row r="22" spans="1:2">
      <c r="A22" t="s">
        <v>30</v>
      </c>
      <c r="B22" t="s">
        <v>389</v>
      </c>
    </row>
    <row r="23" spans="1:2">
      <c r="A23" t="s">
        <v>32</v>
      </c>
      <c r="B23" t="s">
        <v>5</v>
      </c>
    </row>
    <row r="24" spans="1:2">
      <c r="A24" t="s">
        <v>33</v>
      </c>
      <c r="B24" t="s">
        <v>390</v>
      </c>
    </row>
    <row r="25" spans="1:2">
      <c r="A25" t="s">
        <v>35</v>
      </c>
      <c r="B25" t="s">
        <v>36</v>
      </c>
    </row>
    <row r="26" spans="1:2">
      <c r="A26" t="s">
        <v>37</v>
      </c>
      <c r="B26" t="s">
        <v>58</v>
      </c>
    </row>
    <row r="28" spans="1:2">
      <c r="A28" t="s">
        <v>38</v>
      </c>
      <c r="B28" t="s">
        <v>39</v>
      </c>
    </row>
    <row r="29" spans="1:2">
      <c r="A29" t="s">
        <v>40</v>
      </c>
      <c r="B29" t="s">
        <v>393</v>
      </c>
    </row>
    <row r="30" spans="1:2">
      <c r="A30" t="s">
        <v>41</v>
      </c>
      <c r="B30" t="s">
        <v>46</v>
      </c>
    </row>
    <row r="31" spans="1:2">
      <c r="A31" t="s">
        <v>42</v>
      </c>
      <c r="B31" t="s">
        <v>59</v>
      </c>
    </row>
    <row r="32" spans="1:2">
      <c r="A32" t="s">
        <v>43</v>
      </c>
      <c r="B32" t="s">
        <v>60</v>
      </c>
    </row>
    <row r="34" spans="1:2">
      <c r="A34" t="s">
        <v>144</v>
      </c>
      <c r="B34" t="s">
        <v>16</v>
      </c>
    </row>
    <row r="35" spans="1:2">
      <c r="A35" t="s">
        <v>145</v>
      </c>
      <c r="B35" t="s">
        <v>397</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sheetPr>
  <dimension ref="A1:D35"/>
  <sheetViews>
    <sheetView workbookViewId="0">
      <selection activeCell="H23" sqref="H23"/>
    </sheetView>
  </sheetViews>
  <sheetFormatPr baseColWidth="10" defaultColWidth="9.140625" defaultRowHeight="15"/>
  <cols>
    <col min="1" max="1" width="27.85546875" bestFit="1" customWidth="1"/>
    <col min="2" max="2" width="146.140625" bestFit="1" customWidth="1"/>
    <col min="3" max="3" width="29.42578125" bestFit="1" customWidth="1"/>
    <col min="4" max="4" width="29.85546875" bestFit="1" customWidth="1"/>
  </cols>
  <sheetData>
    <row r="1" spans="1:4">
      <c r="A1" t="s">
        <v>0</v>
      </c>
      <c r="B1" t="s">
        <v>1</v>
      </c>
    </row>
    <row r="2" spans="1:4">
      <c r="A2" t="s">
        <v>2</v>
      </c>
      <c r="B2" t="s">
        <v>61</v>
      </c>
    </row>
    <row r="3" spans="1:4">
      <c r="A3" t="s">
        <v>3</v>
      </c>
      <c r="B3" t="s">
        <v>62</v>
      </c>
    </row>
    <row r="4" spans="1:4">
      <c r="A4" t="s">
        <v>4</v>
      </c>
      <c r="B4" t="s">
        <v>63</v>
      </c>
    </row>
    <row r="5" spans="1:4">
      <c r="A5" t="s">
        <v>6</v>
      </c>
      <c r="B5" t="s">
        <v>398</v>
      </c>
    </row>
    <row r="6" spans="1:4">
      <c r="A6" t="s">
        <v>7</v>
      </c>
      <c r="B6" t="s">
        <v>64</v>
      </c>
    </row>
    <row r="7" spans="1:4">
      <c r="A7" t="s">
        <v>8</v>
      </c>
      <c r="B7" t="s">
        <v>65</v>
      </c>
    </row>
    <row r="8" spans="1:4">
      <c r="A8" t="s">
        <v>10</v>
      </c>
      <c r="B8" t="s">
        <v>11</v>
      </c>
    </row>
    <row r="9" spans="1:4">
      <c r="A9" t="s">
        <v>12</v>
      </c>
      <c r="B9" t="s">
        <v>66</v>
      </c>
    </row>
    <row r="11" spans="1:4">
      <c r="A11" t="s">
        <v>13</v>
      </c>
      <c r="B11" t="s">
        <v>14</v>
      </c>
      <c r="C11" t="s">
        <v>15</v>
      </c>
      <c r="D11" t="s">
        <v>16</v>
      </c>
    </row>
    <row r="12" spans="1:4">
      <c r="A12" t="s">
        <v>67</v>
      </c>
      <c r="B12" t="s">
        <v>17</v>
      </c>
      <c r="C12" t="s">
        <v>399</v>
      </c>
      <c r="D12" t="s">
        <v>133</v>
      </c>
    </row>
    <row r="13" spans="1:4">
      <c r="A13" t="s">
        <v>67</v>
      </c>
      <c r="B13" t="s">
        <v>386</v>
      </c>
      <c r="C13" t="s">
        <v>21</v>
      </c>
      <c r="D13" t="s">
        <v>387</v>
      </c>
    </row>
    <row r="14" spans="1:4">
      <c r="A14" t="s">
        <v>67</v>
      </c>
      <c r="B14" t="s">
        <v>23</v>
      </c>
      <c r="C14" t="s">
        <v>24</v>
      </c>
      <c r="D14" t="s">
        <v>25</v>
      </c>
    </row>
    <row r="16" spans="1:4">
      <c r="A16" t="s">
        <v>140</v>
      </c>
      <c r="B16" t="s">
        <v>141</v>
      </c>
    </row>
    <row r="17" spans="1:2">
      <c r="A17" t="s">
        <v>67</v>
      </c>
      <c r="B17" t="s">
        <v>400</v>
      </c>
    </row>
    <row r="19" spans="1:2">
      <c r="A19" t="s">
        <v>142</v>
      </c>
      <c r="B19" t="s">
        <v>27</v>
      </c>
    </row>
    <row r="20" spans="1:2">
      <c r="A20" t="s">
        <v>28</v>
      </c>
      <c r="B20" t="s">
        <v>68</v>
      </c>
    </row>
    <row r="21" spans="1:2">
      <c r="A21" t="s">
        <v>29</v>
      </c>
      <c r="B21" t="s">
        <v>61</v>
      </c>
    </row>
    <row r="22" spans="1:2">
      <c r="A22" t="s">
        <v>30</v>
      </c>
      <c r="B22" t="s">
        <v>389</v>
      </c>
    </row>
    <row r="23" spans="1:2">
      <c r="A23" t="s">
        <v>32</v>
      </c>
      <c r="B23" t="s">
        <v>63</v>
      </c>
    </row>
    <row r="24" spans="1:2">
      <c r="A24" t="s">
        <v>33</v>
      </c>
      <c r="B24" t="s">
        <v>390</v>
      </c>
    </row>
    <row r="25" spans="1:2">
      <c r="A25" t="s">
        <v>35</v>
      </c>
      <c r="B25" t="s">
        <v>36</v>
      </c>
    </row>
    <row r="26" spans="1:2">
      <c r="A26" t="s">
        <v>37</v>
      </c>
      <c r="B26" t="s">
        <v>69</v>
      </c>
    </row>
    <row r="28" spans="1:2">
      <c r="A28" t="s">
        <v>38</v>
      </c>
      <c r="B28" t="s">
        <v>39</v>
      </c>
    </row>
    <row r="29" spans="1:2">
      <c r="A29" t="s">
        <v>40</v>
      </c>
      <c r="B29" t="s">
        <v>62</v>
      </c>
    </row>
    <row r="30" spans="1:2">
      <c r="A30" t="s">
        <v>41</v>
      </c>
      <c r="B30" t="s">
        <v>54</v>
      </c>
    </row>
    <row r="31" spans="1:2">
      <c r="A31" t="s">
        <v>42</v>
      </c>
      <c r="B31" t="s">
        <v>70</v>
      </c>
    </row>
    <row r="32" spans="1:2">
      <c r="A32" t="s">
        <v>43</v>
      </c>
      <c r="B32" t="s">
        <v>71</v>
      </c>
    </row>
    <row r="34" spans="1:2">
      <c r="A34" t="s">
        <v>144</v>
      </c>
      <c r="B34" t="s">
        <v>16</v>
      </c>
    </row>
    <row r="35" spans="1:2">
      <c r="A35" t="s">
        <v>145</v>
      </c>
      <c r="B35" t="s">
        <v>401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sheetPr>
  <dimension ref="A1:D35"/>
  <sheetViews>
    <sheetView workbookViewId="0">
      <selection activeCell="H23" sqref="H23"/>
    </sheetView>
  </sheetViews>
  <sheetFormatPr baseColWidth="10" defaultColWidth="9.140625" defaultRowHeight="15"/>
  <cols>
    <col min="1" max="1" width="26.85546875" bestFit="1" customWidth="1"/>
    <col min="2" max="2" width="143" bestFit="1" customWidth="1"/>
    <col min="3" max="3" width="28.42578125" bestFit="1" customWidth="1"/>
    <col min="4" max="4" width="29.85546875" bestFit="1" customWidth="1"/>
    <col min="5" max="10" width="9" customWidth="1"/>
  </cols>
  <sheetData>
    <row r="1" spans="1:4">
      <c r="A1" t="s">
        <v>0</v>
      </c>
      <c r="B1" t="s">
        <v>1</v>
      </c>
    </row>
    <row r="2" spans="1:4">
      <c r="A2" t="s">
        <v>2</v>
      </c>
      <c r="B2" t="s">
        <v>72</v>
      </c>
    </row>
    <row r="3" spans="1:4">
      <c r="A3" t="s">
        <v>3</v>
      </c>
      <c r="B3" t="s">
        <v>402</v>
      </c>
    </row>
    <row r="4" spans="1:4">
      <c r="A4" t="s">
        <v>4</v>
      </c>
      <c r="B4" t="s">
        <v>73</v>
      </c>
    </row>
    <row r="5" spans="1:4">
      <c r="A5" t="s">
        <v>6</v>
      </c>
      <c r="B5" t="s">
        <v>403</v>
      </c>
    </row>
    <row r="6" spans="1:4">
      <c r="A6" t="s">
        <v>7</v>
      </c>
      <c r="B6" t="s">
        <v>74</v>
      </c>
    </row>
    <row r="7" spans="1:4">
      <c r="A7" t="s">
        <v>8</v>
      </c>
      <c r="B7" t="s">
        <v>75</v>
      </c>
    </row>
    <row r="8" spans="1:4">
      <c r="A8" t="s">
        <v>10</v>
      </c>
      <c r="B8" t="s">
        <v>11</v>
      </c>
    </row>
    <row r="9" spans="1:4">
      <c r="A9" t="s">
        <v>12</v>
      </c>
      <c r="B9" t="s">
        <v>76</v>
      </c>
    </row>
    <row r="11" spans="1:4">
      <c r="A11" t="s">
        <v>13</v>
      </c>
      <c r="B11" t="s">
        <v>14</v>
      </c>
      <c r="C11" t="s">
        <v>15</v>
      </c>
      <c r="D11" t="s">
        <v>16</v>
      </c>
    </row>
    <row r="12" spans="1:4">
      <c r="A12" t="s">
        <v>77</v>
      </c>
      <c r="B12" t="s">
        <v>17</v>
      </c>
      <c r="C12" t="s">
        <v>404</v>
      </c>
      <c r="D12" t="s">
        <v>133</v>
      </c>
    </row>
    <row r="13" spans="1:4">
      <c r="A13" t="s">
        <v>77</v>
      </c>
      <c r="B13" t="s">
        <v>386</v>
      </c>
      <c r="C13" t="s">
        <v>21</v>
      </c>
      <c r="D13" t="s">
        <v>387</v>
      </c>
    </row>
    <row r="14" spans="1:4">
      <c r="A14" t="s">
        <v>77</v>
      </c>
      <c r="B14" t="s">
        <v>23</v>
      </c>
      <c r="C14" t="s">
        <v>24</v>
      </c>
      <c r="D14" t="s">
        <v>25</v>
      </c>
    </row>
    <row r="16" spans="1:4">
      <c r="A16" t="s">
        <v>140</v>
      </c>
      <c r="B16" t="s">
        <v>141</v>
      </c>
    </row>
    <row r="17" spans="1:2">
      <c r="A17" t="s">
        <v>77</v>
      </c>
      <c r="B17" t="s">
        <v>405</v>
      </c>
    </row>
    <row r="19" spans="1:2">
      <c r="A19" t="s">
        <v>142</v>
      </c>
      <c r="B19" t="s">
        <v>27</v>
      </c>
    </row>
    <row r="20" spans="1:2">
      <c r="A20" t="s">
        <v>28</v>
      </c>
      <c r="B20" t="s">
        <v>78</v>
      </c>
    </row>
    <row r="21" spans="1:2">
      <c r="A21" t="s">
        <v>29</v>
      </c>
      <c r="B21" t="s">
        <v>72</v>
      </c>
    </row>
    <row r="22" spans="1:2">
      <c r="A22" t="s">
        <v>30</v>
      </c>
      <c r="B22" t="s">
        <v>389</v>
      </c>
    </row>
    <row r="23" spans="1:2">
      <c r="A23" t="s">
        <v>32</v>
      </c>
      <c r="B23" t="s">
        <v>73</v>
      </c>
    </row>
    <row r="24" spans="1:2">
      <c r="A24" t="s">
        <v>33</v>
      </c>
      <c r="B24" t="s">
        <v>390</v>
      </c>
    </row>
    <row r="25" spans="1:2">
      <c r="A25" t="s">
        <v>35</v>
      </c>
      <c r="B25" t="s">
        <v>36</v>
      </c>
    </row>
    <row r="26" spans="1:2">
      <c r="A26" t="s">
        <v>37</v>
      </c>
      <c r="B26" t="s">
        <v>79</v>
      </c>
    </row>
    <row r="28" spans="1:2">
      <c r="A28" t="s">
        <v>38</v>
      </c>
      <c r="B28" t="s">
        <v>39</v>
      </c>
    </row>
    <row r="29" spans="1:2">
      <c r="A29" t="s">
        <v>40</v>
      </c>
      <c r="B29" t="s">
        <v>402</v>
      </c>
    </row>
    <row r="30" spans="1:2">
      <c r="A30" t="s">
        <v>41</v>
      </c>
      <c r="B30" t="s">
        <v>65</v>
      </c>
    </row>
    <row r="31" spans="1:2">
      <c r="A31" t="s">
        <v>42</v>
      </c>
      <c r="B31" t="s">
        <v>80</v>
      </c>
    </row>
    <row r="32" spans="1:2">
      <c r="A32" t="s">
        <v>43</v>
      </c>
      <c r="B32" t="s">
        <v>81</v>
      </c>
    </row>
    <row r="34" spans="1:2">
      <c r="A34" t="s">
        <v>144</v>
      </c>
      <c r="B34" t="s">
        <v>16</v>
      </c>
    </row>
    <row r="35" spans="1:2">
      <c r="A35" t="s">
        <v>145</v>
      </c>
      <c r="B35" t="s">
        <v>406</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sheetPr>
  <dimension ref="A1:D35"/>
  <sheetViews>
    <sheetView workbookViewId="0">
      <selection activeCell="H23" sqref="H23"/>
    </sheetView>
  </sheetViews>
  <sheetFormatPr baseColWidth="10" defaultColWidth="9.140625" defaultRowHeight="15"/>
  <cols>
    <col min="1" max="1" width="24.42578125" bestFit="1" customWidth="1"/>
    <col min="2" max="2" width="122.5703125" bestFit="1" customWidth="1"/>
    <col min="3" max="3" width="21.7109375" bestFit="1" customWidth="1"/>
    <col min="4" max="4" width="29.85546875" bestFit="1" customWidth="1"/>
  </cols>
  <sheetData>
    <row r="1" spans="1:4">
      <c r="A1" t="s">
        <v>0</v>
      </c>
      <c r="B1" t="s">
        <v>1</v>
      </c>
    </row>
    <row r="2" spans="1:4">
      <c r="A2" t="s">
        <v>2</v>
      </c>
      <c r="B2" t="s">
        <v>407</v>
      </c>
    </row>
    <row r="3" spans="1:4">
      <c r="A3" t="s">
        <v>3</v>
      </c>
      <c r="B3" t="s">
        <v>408</v>
      </c>
    </row>
    <row r="4" spans="1:4">
      <c r="A4" t="s">
        <v>4</v>
      </c>
      <c r="B4" t="s">
        <v>82</v>
      </c>
    </row>
    <row r="5" spans="1:4">
      <c r="A5" t="s">
        <v>6</v>
      </c>
      <c r="B5" t="s">
        <v>409</v>
      </c>
    </row>
    <row r="6" spans="1:4">
      <c r="A6" t="s">
        <v>7</v>
      </c>
      <c r="B6" t="s">
        <v>83</v>
      </c>
    </row>
    <row r="7" spans="1:4">
      <c r="A7" t="s">
        <v>8</v>
      </c>
      <c r="B7" t="s">
        <v>84</v>
      </c>
    </row>
    <row r="8" spans="1:4">
      <c r="A8" t="s">
        <v>10</v>
      </c>
      <c r="B8" t="s">
        <v>11</v>
      </c>
    </row>
    <row r="9" spans="1:4">
      <c r="A9" t="s">
        <v>12</v>
      </c>
      <c r="B9" t="s">
        <v>85</v>
      </c>
    </row>
    <row r="11" spans="1:4">
      <c r="A11" t="s">
        <v>13</v>
      </c>
      <c r="B11" t="s">
        <v>14</v>
      </c>
      <c r="C11" t="s">
        <v>15</v>
      </c>
      <c r="D11" t="s">
        <v>16</v>
      </c>
    </row>
    <row r="12" spans="1:4">
      <c r="A12" t="s">
        <v>86</v>
      </c>
      <c r="B12" t="s">
        <v>17</v>
      </c>
      <c r="C12" t="s">
        <v>410</v>
      </c>
      <c r="D12" t="s">
        <v>133</v>
      </c>
    </row>
    <row r="13" spans="1:4">
      <c r="A13" t="s">
        <v>86</v>
      </c>
      <c r="B13" t="s">
        <v>386</v>
      </c>
      <c r="C13" t="s">
        <v>21</v>
      </c>
      <c r="D13" t="s">
        <v>387</v>
      </c>
    </row>
    <row r="14" spans="1:4">
      <c r="A14" t="s">
        <v>86</v>
      </c>
      <c r="B14" t="s">
        <v>23</v>
      </c>
      <c r="C14" t="s">
        <v>24</v>
      </c>
      <c r="D14" t="s">
        <v>25</v>
      </c>
    </row>
    <row r="16" spans="1:4">
      <c r="A16" t="s">
        <v>140</v>
      </c>
      <c r="B16" t="s">
        <v>141</v>
      </c>
    </row>
    <row r="17" spans="1:2">
      <c r="A17" t="s">
        <v>86</v>
      </c>
      <c r="B17" t="s">
        <v>411</v>
      </c>
    </row>
    <row r="19" spans="1:2">
      <c r="A19" t="s">
        <v>142</v>
      </c>
      <c r="B19" t="s">
        <v>27</v>
      </c>
    </row>
    <row r="20" spans="1:2">
      <c r="A20" t="s">
        <v>28</v>
      </c>
      <c r="B20" t="s">
        <v>87</v>
      </c>
    </row>
    <row r="21" spans="1:2">
      <c r="A21" t="s">
        <v>29</v>
      </c>
      <c r="B21" t="s">
        <v>407</v>
      </c>
    </row>
    <row r="22" spans="1:2">
      <c r="A22" t="s">
        <v>30</v>
      </c>
      <c r="B22" t="s">
        <v>389</v>
      </c>
    </row>
    <row r="23" spans="1:2">
      <c r="A23" t="s">
        <v>32</v>
      </c>
      <c r="B23" t="s">
        <v>82</v>
      </c>
    </row>
    <row r="24" spans="1:2">
      <c r="A24" t="s">
        <v>33</v>
      </c>
      <c r="B24" t="s">
        <v>390</v>
      </c>
    </row>
    <row r="25" spans="1:2">
      <c r="A25" t="s">
        <v>35</v>
      </c>
      <c r="B25" t="s">
        <v>36</v>
      </c>
    </row>
    <row r="26" spans="1:2">
      <c r="A26" t="s">
        <v>37</v>
      </c>
      <c r="B26" t="s">
        <v>88</v>
      </c>
    </row>
    <row r="28" spans="1:2">
      <c r="A28" t="s">
        <v>38</v>
      </c>
      <c r="B28" t="s">
        <v>39</v>
      </c>
    </row>
    <row r="29" spans="1:2">
      <c r="A29" t="s">
        <v>40</v>
      </c>
      <c r="B29" t="s">
        <v>408</v>
      </c>
    </row>
    <row r="30" spans="1:2">
      <c r="A30" t="s">
        <v>41</v>
      </c>
      <c r="B30" t="s">
        <v>75</v>
      </c>
    </row>
    <row r="31" spans="1:2">
      <c r="A31" t="s">
        <v>42</v>
      </c>
      <c r="B31" t="s">
        <v>89</v>
      </c>
    </row>
    <row r="32" spans="1:2">
      <c r="A32" t="s">
        <v>43</v>
      </c>
      <c r="B32" t="s">
        <v>90</v>
      </c>
    </row>
    <row r="34" spans="1:2">
      <c r="A34" t="s">
        <v>144</v>
      </c>
      <c r="B34" t="s">
        <v>16</v>
      </c>
    </row>
    <row r="35" spans="1:2">
      <c r="A35" t="s">
        <v>145</v>
      </c>
      <c r="B35" t="s">
        <v>412</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sheetPr>
  <dimension ref="A1:D35"/>
  <sheetViews>
    <sheetView workbookViewId="0">
      <selection sqref="A1:XFD1048576"/>
    </sheetView>
  </sheetViews>
  <sheetFormatPr baseColWidth="10" defaultColWidth="9.140625" defaultRowHeight="15"/>
  <cols>
    <col min="1" max="1" width="24.42578125" bestFit="1" customWidth="1"/>
    <col min="2" max="2" width="124.7109375" bestFit="1" customWidth="1"/>
    <col min="3" max="3" width="22.42578125" bestFit="1" customWidth="1"/>
    <col min="4" max="4" width="29.85546875" bestFit="1" customWidth="1"/>
  </cols>
  <sheetData>
    <row r="1" spans="1:4">
      <c r="A1" t="s">
        <v>0</v>
      </c>
      <c r="B1" t="s">
        <v>1</v>
      </c>
    </row>
    <row r="2" spans="1:4">
      <c r="A2" t="s">
        <v>2</v>
      </c>
      <c r="B2" t="s">
        <v>413</v>
      </c>
    </row>
    <row r="3" spans="1:4">
      <c r="A3" t="s">
        <v>3</v>
      </c>
      <c r="B3" t="s">
        <v>91</v>
      </c>
    </row>
    <row r="4" spans="1:4">
      <c r="A4" t="s">
        <v>4</v>
      </c>
      <c r="B4" t="s">
        <v>414</v>
      </c>
    </row>
    <row r="5" spans="1:4">
      <c r="A5" t="s">
        <v>6</v>
      </c>
      <c r="B5" t="s">
        <v>92</v>
      </c>
    </row>
    <row r="6" spans="1:4">
      <c r="A6" t="s">
        <v>7</v>
      </c>
      <c r="B6" t="s">
        <v>134</v>
      </c>
    </row>
    <row r="7" spans="1:4">
      <c r="A7" t="s">
        <v>8</v>
      </c>
      <c r="B7" t="s">
        <v>93</v>
      </c>
    </row>
    <row r="8" spans="1:4">
      <c r="A8" t="s">
        <v>10</v>
      </c>
      <c r="B8" t="s">
        <v>11</v>
      </c>
    </row>
    <row r="9" spans="1:4">
      <c r="A9" t="s">
        <v>12</v>
      </c>
      <c r="B9" t="s">
        <v>94</v>
      </c>
    </row>
    <row r="11" spans="1:4">
      <c r="A11" t="s">
        <v>13</v>
      </c>
      <c r="B11" t="s">
        <v>14</v>
      </c>
      <c r="C11" t="s">
        <v>15</v>
      </c>
      <c r="D11" t="s">
        <v>16</v>
      </c>
    </row>
    <row r="12" spans="1:4">
      <c r="A12" t="s">
        <v>95</v>
      </c>
      <c r="B12" t="s">
        <v>17</v>
      </c>
      <c r="C12" t="s">
        <v>415</v>
      </c>
      <c r="D12" t="s">
        <v>133</v>
      </c>
    </row>
    <row r="13" spans="1:4">
      <c r="A13" t="s">
        <v>95</v>
      </c>
      <c r="B13" t="s">
        <v>386</v>
      </c>
      <c r="C13" t="s">
        <v>21</v>
      </c>
      <c r="D13" t="s">
        <v>387</v>
      </c>
    </row>
    <row r="14" spans="1:4">
      <c r="A14" t="s">
        <v>95</v>
      </c>
      <c r="B14" t="s">
        <v>23</v>
      </c>
      <c r="C14" t="s">
        <v>24</v>
      </c>
      <c r="D14" t="s">
        <v>25</v>
      </c>
    </row>
    <row r="16" spans="1:4">
      <c r="A16" t="s">
        <v>140</v>
      </c>
      <c r="B16" t="s">
        <v>141</v>
      </c>
    </row>
    <row r="17" spans="1:2">
      <c r="A17" t="s">
        <v>95</v>
      </c>
      <c r="B17" t="s">
        <v>416</v>
      </c>
    </row>
    <row r="19" spans="1:2">
      <c r="A19" t="s">
        <v>142</v>
      </c>
      <c r="B19" t="s">
        <v>27</v>
      </c>
    </row>
    <row r="20" spans="1:2">
      <c r="A20" t="s">
        <v>28</v>
      </c>
      <c r="B20" t="s">
        <v>96</v>
      </c>
    </row>
    <row r="21" spans="1:2">
      <c r="A21" t="s">
        <v>29</v>
      </c>
      <c r="B21" t="s">
        <v>413</v>
      </c>
    </row>
    <row r="22" spans="1:2">
      <c r="A22" t="s">
        <v>30</v>
      </c>
      <c r="B22" t="s">
        <v>389</v>
      </c>
    </row>
    <row r="23" spans="1:2">
      <c r="A23" t="s">
        <v>32</v>
      </c>
      <c r="B23" t="s">
        <v>414</v>
      </c>
    </row>
    <row r="24" spans="1:2">
      <c r="A24" t="s">
        <v>33</v>
      </c>
      <c r="B24" t="s">
        <v>390</v>
      </c>
    </row>
    <row r="25" spans="1:2">
      <c r="A25" t="s">
        <v>35</v>
      </c>
      <c r="B25" t="s">
        <v>36</v>
      </c>
    </row>
    <row r="26" spans="1:2">
      <c r="A26" t="s">
        <v>37</v>
      </c>
      <c r="B26" t="s">
        <v>97</v>
      </c>
    </row>
    <row r="28" spans="1:2">
      <c r="A28" t="s">
        <v>38</v>
      </c>
      <c r="B28" t="s">
        <v>39</v>
      </c>
    </row>
    <row r="29" spans="1:2">
      <c r="A29" t="s">
        <v>40</v>
      </c>
      <c r="B29" t="s">
        <v>91</v>
      </c>
    </row>
    <row r="30" spans="1:2">
      <c r="A30" t="s">
        <v>41</v>
      </c>
      <c r="B30" t="s">
        <v>84</v>
      </c>
    </row>
    <row r="31" spans="1:2">
      <c r="A31" t="s">
        <v>42</v>
      </c>
      <c r="B31" t="s">
        <v>98</v>
      </c>
    </row>
    <row r="32" spans="1:2">
      <c r="A32" t="s">
        <v>43</v>
      </c>
      <c r="B32" t="s">
        <v>99</v>
      </c>
    </row>
    <row r="34" spans="1:2">
      <c r="A34" t="s">
        <v>144</v>
      </c>
      <c r="B34" t="s">
        <v>16</v>
      </c>
    </row>
    <row r="35" spans="1:2">
      <c r="A35" t="s">
        <v>145</v>
      </c>
      <c r="B35" t="s">
        <v>417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sheetPr>
  <dimension ref="A1:D35"/>
  <sheetViews>
    <sheetView workbookViewId="0">
      <selection sqref="A1:XFD1048576"/>
    </sheetView>
  </sheetViews>
  <sheetFormatPr baseColWidth="10" defaultColWidth="9.140625" defaultRowHeight="15"/>
  <cols>
    <col min="1" max="1" width="25.28515625" bestFit="1" customWidth="1"/>
    <col min="2" max="2" width="138.5703125" bestFit="1" customWidth="1"/>
    <col min="3" max="3" width="27" bestFit="1" customWidth="1"/>
    <col min="4" max="4" width="29.85546875" bestFit="1" customWidth="1"/>
  </cols>
  <sheetData>
    <row r="1" spans="1:4">
      <c r="A1" t="s">
        <v>0</v>
      </c>
      <c r="B1" t="s">
        <v>1</v>
      </c>
    </row>
    <row r="2" spans="1:4">
      <c r="A2" t="s">
        <v>2</v>
      </c>
      <c r="B2" t="s">
        <v>418</v>
      </c>
    </row>
    <row r="3" spans="1:4">
      <c r="A3" t="s">
        <v>3</v>
      </c>
      <c r="B3" t="s">
        <v>419</v>
      </c>
    </row>
    <row r="4" spans="1:4">
      <c r="A4" t="s">
        <v>4</v>
      </c>
      <c r="B4" t="s">
        <v>100</v>
      </c>
    </row>
    <row r="5" spans="1:4">
      <c r="A5" t="s">
        <v>6</v>
      </c>
      <c r="B5" t="s">
        <v>101</v>
      </c>
    </row>
    <row r="6" spans="1:4">
      <c r="A6" t="s">
        <v>7</v>
      </c>
      <c r="B6" t="s">
        <v>420</v>
      </c>
    </row>
    <row r="7" spans="1:4">
      <c r="A7" t="s">
        <v>8</v>
      </c>
      <c r="B7" t="s">
        <v>102</v>
      </c>
    </row>
    <row r="8" spans="1:4">
      <c r="A8" t="s">
        <v>10</v>
      </c>
      <c r="B8" t="s">
        <v>11</v>
      </c>
    </row>
    <row r="9" spans="1:4">
      <c r="A9" t="s">
        <v>12</v>
      </c>
      <c r="B9" t="s">
        <v>103</v>
      </c>
    </row>
    <row r="11" spans="1:4">
      <c r="A11" t="s">
        <v>13</v>
      </c>
      <c r="B11" t="s">
        <v>14</v>
      </c>
      <c r="C11" t="s">
        <v>15</v>
      </c>
      <c r="D11" t="s">
        <v>16</v>
      </c>
    </row>
    <row r="12" spans="1:4">
      <c r="A12" t="s">
        <v>104</v>
      </c>
      <c r="B12" t="s">
        <v>17</v>
      </c>
      <c r="C12" t="s">
        <v>421</v>
      </c>
      <c r="D12" t="s">
        <v>133</v>
      </c>
    </row>
    <row r="13" spans="1:4">
      <c r="A13" t="s">
        <v>104</v>
      </c>
      <c r="B13" t="s">
        <v>386</v>
      </c>
      <c r="C13" t="s">
        <v>21</v>
      </c>
      <c r="D13" t="s">
        <v>387</v>
      </c>
    </row>
    <row r="14" spans="1:4">
      <c r="A14" t="s">
        <v>104</v>
      </c>
      <c r="B14" t="s">
        <v>23</v>
      </c>
      <c r="C14" t="s">
        <v>24</v>
      </c>
      <c r="D14" t="s">
        <v>25</v>
      </c>
    </row>
    <row r="16" spans="1:4">
      <c r="A16" t="s">
        <v>140</v>
      </c>
      <c r="B16" t="s">
        <v>141</v>
      </c>
    </row>
    <row r="17" spans="1:2">
      <c r="A17" t="s">
        <v>104</v>
      </c>
      <c r="B17" t="s">
        <v>422</v>
      </c>
    </row>
    <row r="19" spans="1:2">
      <c r="A19" t="s">
        <v>142</v>
      </c>
      <c r="B19" t="s">
        <v>27</v>
      </c>
    </row>
    <row r="20" spans="1:2">
      <c r="A20" t="s">
        <v>28</v>
      </c>
      <c r="B20" t="s">
        <v>105</v>
      </c>
    </row>
    <row r="21" spans="1:2">
      <c r="A21" t="s">
        <v>29</v>
      </c>
      <c r="B21" t="s">
        <v>418</v>
      </c>
    </row>
    <row r="22" spans="1:2">
      <c r="A22" t="s">
        <v>30</v>
      </c>
      <c r="B22" t="s">
        <v>389</v>
      </c>
    </row>
    <row r="23" spans="1:2">
      <c r="A23" t="s">
        <v>32</v>
      </c>
      <c r="B23" t="s">
        <v>100</v>
      </c>
    </row>
    <row r="24" spans="1:2">
      <c r="A24" t="s">
        <v>33</v>
      </c>
      <c r="B24" t="s">
        <v>390</v>
      </c>
    </row>
    <row r="25" spans="1:2">
      <c r="A25" t="s">
        <v>35</v>
      </c>
      <c r="B25" t="s">
        <v>36</v>
      </c>
    </row>
    <row r="26" spans="1:2">
      <c r="A26" t="s">
        <v>37</v>
      </c>
      <c r="B26" t="s">
        <v>106</v>
      </c>
    </row>
    <row r="28" spans="1:2">
      <c r="A28" t="s">
        <v>38</v>
      </c>
      <c r="B28" t="s">
        <v>39</v>
      </c>
    </row>
    <row r="29" spans="1:2">
      <c r="A29" t="s">
        <v>40</v>
      </c>
      <c r="B29" t="s">
        <v>419</v>
      </c>
    </row>
    <row r="30" spans="1:2">
      <c r="A30" t="s">
        <v>41</v>
      </c>
      <c r="B30" t="s">
        <v>93</v>
      </c>
    </row>
    <row r="31" spans="1:2">
      <c r="A31" t="s">
        <v>42</v>
      </c>
      <c r="B31" t="s">
        <v>107</v>
      </c>
    </row>
    <row r="32" spans="1:2">
      <c r="A32" t="s">
        <v>43</v>
      </c>
      <c r="B32" t="s">
        <v>108</v>
      </c>
    </row>
    <row r="34" spans="1:2">
      <c r="A34" t="s">
        <v>144</v>
      </c>
      <c r="B34" t="s">
        <v>16</v>
      </c>
    </row>
    <row r="35" spans="1:2">
      <c r="A35" t="s">
        <v>145</v>
      </c>
      <c r="B35" t="s">
        <v>423</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D35"/>
  <sheetViews>
    <sheetView workbookViewId="0">
      <selection activeCell="B23" sqref="B23"/>
    </sheetView>
  </sheetViews>
  <sheetFormatPr baseColWidth="10" defaultColWidth="9.140625" defaultRowHeight="15"/>
  <cols>
    <col min="1" max="1" width="27.28515625" bestFit="1" customWidth="1"/>
    <col min="2" max="2" width="144.28515625" bestFit="1" customWidth="1"/>
    <col min="3" max="3" width="28.85546875" bestFit="1" customWidth="1"/>
    <col min="4" max="4" width="29.85546875" bestFit="1" customWidth="1"/>
  </cols>
  <sheetData>
    <row r="1" spans="1:4">
      <c r="A1" t="s">
        <v>0</v>
      </c>
      <c r="B1" t="s">
        <v>1</v>
      </c>
    </row>
    <row r="2" spans="1:4">
      <c r="A2" t="s">
        <v>2</v>
      </c>
      <c r="B2" t="s">
        <v>424</v>
      </c>
    </row>
    <row r="3" spans="1:4">
      <c r="A3" t="s">
        <v>3</v>
      </c>
      <c r="B3" t="s">
        <v>425</v>
      </c>
    </row>
    <row r="4" spans="1:4">
      <c r="A4" t="s">
        <v>4</v>
      </c>
      <c r="B4" t="s">
        <v>426</v>
      </c>
    </row>
    <row r="5" spans="1:4">
      <c r="A5" t="s">
        <v>6</v>
      </c>
      <c r="B5" t="s">
        <v>427</v>
      </c>
    </row>
    <row r="6" spans="1:4">
      <c r="A6" t="s">
        <v>7</v>
      </c>
      <c r="B6" t="s">
        <v>109</v>
      </c>
    </row>
    <row r="7" spans="1:4">
      <c r="A7" t="s">
        <v>8</v>
      </c>
      <c r="B7" t="s">
        <v>19</v>
      </c>
    </row>
    <row r="8" spans="1:4">
      <c r="A8" t="s">
        <v>10</v>
      </c>
      <c r="B8" t="s">
        <v>11</v>
      </c>
    </row>
    <row r="9" spans="1:4">
      <c r="A9" t="s">
        <v>12</v>
      </c>
      <c r="B9" t="s">
        <v>44</v>
      </c>
    </row>
    <row r="11" spans="1:4">
      <c r="A11" t="s">
        <v>13</v>
      </c>
      <c r="B11" t="s">
        <v>14</v>
      </c>
      <c r="C11" t="s">
        <v>15</v>
      </c>
      <c r="D11" t="s">
        <v>16</v>
      </c>
    </row>
    <row r="12" spans="1:4">
      <c r="A12" t="s">
        <v>110</v>
      </c>
      <c r="B12" t="s">
        <v>17</v>
      </c>
      <c r="C12" t="s">
        <v>428</v>
      </c>
      <c r="D12" t="s">
        <v>133</v>
      </c>
    </row>
    <row r="13" spans="1:4">
      <c r="A13" t="s">
        <v>110</v>
      </c>
      <c r="B13" t="s">
        <v>386</v>
      </c>
      <c r="C13" t="s">
        <v>21</v>
      </c>
      <c r="D13" t="s">
        <v>387</v>
      </c>
    </row>
    <row r="14" spans="1:4">
      <c r="A14" t="s">
        <v>110</v>
      </c>
      <c r="B14" t="s">
        <v>23</v>
      </c>
      <c r="C14" t="s">
        <v>24</v>
      </c>
      <c r="D14" t="s">
        <v>25</v>
      </c>
    </row>
    <row r="16" spans="1:4">
      <c r="A16" t="s">
        <v>140</v>
      </c>
      <c r="B16" t="s">
        <v>141</v>
      </c>
    </row>
    <row r="17" spans="1:2">
      <c r="A17" t="s">
        <v>110</v>
      </c>
      <c r="B17" t="s">
        <v>429</v>
      </c>
    </row>
    <row r="19" spans="1:2">
      <c r="A19" t="s">
        <v>142</v>
      </c>
      <c r="B19" t="s">
        <v>27</v>
      </c>
    </row>
    <row r="20" spans="1:2">
      <c r="A20" t="s">
        <v>28</v>
      </c>
      <c r="B20" t="s">
        <v>112</v>
      </c>
    </row>
    <row r="21" spans="1:2">
      <c r="A21" t="s">
        <v>29</v>
      </c>
      <c r="B21" t="s">
        <v>424</v>
      </c>
    </row>
    <row r="22" spans="1:2">
      <c r="A22" t="s">
        <v>30</v>
      </c>
      <c r="B22" t="s">
        <v>389</v>
      </c>
    </row>
    <row r="23" spans="1:2">
      <c r="A23" t="s">
        <v>32</v>
      </c>
      <c r="B23" t="s">
        <v>426</v>
      </c>
    </row>
    <row r="24" spans="1:2">
      <c r="A24" t="s">
        <v>33</v>
      </c>
      <c r="B24" t="s">
        <v>390</v>
      </c>
    </row>
    <row r="25" spans="1:2">
      <c r="A25" t="s">
        <v>35</v>
      </c>
      <c r="B25" t="s">
        <v>36</v>
      </c>
    </row>
    <row r="26" spans="1:2">
      <c r="A26" t="s">
        <v>37</v>
      </c>
      <c r="B26" t="s">
        <v>113</v>
      </c>
    </row>
    <row r="28" spans="1:2">
      <c r="A28" t="s">
        <v>38</v>
      </c>
      <c r="B28" t="s">
        <v>39</v>
      </c>
    </row>
    <row r="29" spans="1:2">
      <c r="A29" t="s">
        <v>40</v>
      </c>
      <c r="B29" t="s">
        <v>425</v>
      </c>
    </row>
    <row r="30" spans="1:2">
      <c r="A30" t="s">
        <v>41</v>
      </c>
      <c r="B30" t="s">
        <v>111</v>
      </c>
    </row>
    <row r="31" spans="1:2">
      <c r="A31" t="s">
        <v>42</v>
      </c>
      <c r="B31" t="s">
        <v>114</v>
      </c>
    </row>
    <row r="32" spans="1:2">
      <c r="A32" t="s">
        <v>43</v>
      </c>
      <c r="B32" t="s">
        <v>115</v>
      </c>
    </row>
    <row r="34" spans="1:2">
      <c r="A34" t="s">
        <v>144</v>
      </c>
      <c r="B34" t="s">
        <v>16</v>
      </c>
    </row>
    <row r="35" spans="1:2">
      <c r="A35" t="s">
        <v>145</v>
      </c>
      <c r="B35" t="s">
        <v>430</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D32"/>
  <sheetViews>
    <sheetView workbookViewId="0">
      <selection activeCell="A31" sqref="A31:D32"/>
    </sheetView>
  </sheetViews>
  <sheetFormatPr baseColWidth="10" defaultColWidth="9.140625" defaultRowHeight="15"/>
  <cols>
    <col min="1" max="1" width="23.5703125" bestFit="1" customWidth="1"/>
    <col min="2" max="2" width="43.140625" bestFit="1" customWidth="1"/>
    <col min="3" max="3" width="6.5703125" bestFit="1" customWidth="1"/>
    <col min="4" max="4" width="25.140625" bestFit="1" customWidth="1"/>
  </cols>
  <sheetData>
    <row r="1" spans="1:4">
      <c r="A1" t="s">
        <v>0</v>
      </c>
      <c r="B1" t="s">
        <v>1</v>
      </c>
    </row>
    <row r="2" spans="1:4">
      <c r="A2" t="s">
        <v>2</v>
      </c>
      <c r="B2" t="s">
        <v>116</v>
      </c>
    </row>
    <row r="3" spans="1:4">
      <c r="A3" t="s">
        <v>3</v>
      </c>
      <c r="B3" t="s">
        <v>117</v>
      </c>
    </row>
    <row r="4" spans="1:4">
      <c r="A4" t="s">
        <v>4</v>
      </c>
      <c r="B4" t="s">
        <v>118</v>
      </c>
    </row>
    <row r="5" spans="1:4">
      <c r="A5" t="s">
        <v>6</v>
      </c>
      <c r="B5" t="s">
        <v>119</v>
      </c>
    </row>
    <row r="6" spans="1:4">
      <c r="A6" t="s">
        <v>7</v>
      </c>
      <c r="B6" t="s">
        <v>120</v>
      </c>
    </row>
    <row r="7" spans="1:4">
      <c r="A7" t="s">
        <v>8</v>
      </c>
      <c r="B7" t="s">
        <v>121</v>
      </c>
    </row>
    <row r="8" spans="1:4">
      <c r="A8" t="s">
        <v>10</v>
      </c>
      <c r="B8" t="s">
        <v>11</v>
      </c>
    </row>
    <row r="9" spans="1:4">
      <c r="A9" t="s">
        <v>12</v>
      </c>
      <c r="B9" t="s">
        <v>122</v>
      </c>
    </row>
    <row r="11" spans="1:4">
      <c r="A11" t="s">
        <v>13</v>
      </c>
      <c r="B11" t="s">
        <v>14</v>
      </c>
      <c r="C11" t="s">
        <v>15</v>
      </c>
      <c r="D11" t="s">
        <v>16</v>
      </c>
    </row>
    <row r="12" spans="1:4">
      <c r="A12" t="s">
        <v>123</v>
      </c>
      <c r="B12" t="s">
        <v>17</v>
      </c>
      <c r="C12" t="s">
        <v>18</v>
      </c>
      <c r="D12" t="s">
        <v>124</v>
      </c>
    </row>
    <row r="13" spans="1:4">
      <c r="A13" t="s">
        <v>123</v>
      </c>
      <c r="B13" t="s">
        <v>20</v>
      </c>
      <c r="C13" t="s">
        <v>21</v>
      </c>
      <c r="D13" t="s">
        <v>22</v>
      </c>
    </row>
    <row r="14" spans="1:4">
      <c r="A14" t="s">
        <v>123</v>
      </c>
      <c r="B14" t="s">
        <v>23</v>
      </c>
      <c r="C14" t="s">
        <v>24</v>
      </c>
      <c r="D14" t="s">
        <v>25</v>
      </c>
    </row>
    <row r="16" spans="1:4">
      <c r="A16" t="s">
        <v>26</v>
      </c>
      <c r="B16" t="s">
        <v>27</v>
      </c>
    </row>
    <row r="17" spans="1:2">
      <c r="A17" t="s">
        <v>28</v>
      </c>
      <c r="B17" t="s">
        <v>125</v>
      </c>
    </row>
    <row r="18" spans="1:2">
      <c r="A18" t="s">
        <v>29</v>
      </c>
      <c r="B18" t="s">
        <v>116</v>
      </c>
    </row>
    <row r="19" spans="1:2">
      <c r="A19" t="s">
        <v>30</v>
      </c>
      <c r="B19" t="s">
        <v>31</v>
      </c>
    </row>
    <row r="20" spans="1:2">
      <c r="A20" t="s">
        <v>32</v>
      </c>
      <c r="B20" t="s">
        <v>118</v>
      </c>
    </row>
    <row r="21" spans="1:2">
      <c r="A21" t="s">
        <v>33</v>
      </c>
      <c r="B21" t="s">
        <v>34</v>
      </c>
    </row>
    <row r="22" spans="1:2">
      <c r="A22" t="s">
        <v>35</v>
      </c>
      <c r="B22" t="s">
        <v>36</v>
      </c>
    </row>
    <row r="23" spans="1:2">
      <c r="A23" t="s">
        <v>37</v>
      </c>
      <c r="B23" t="s">
        <v>126</v>
      </c>
    </row>
    <row r="25" spans="1:2">
      <c r="A25" t="s">
        <v>38</v>
      </c>
      <c r="B25" t="s">
        <v>39</v>
      </c>
    </row>
    <row r="26" spans="1:2">
      <c r="A26" t="s">
        <v>40</v>
      </c>
      <c r="B26" t="s">
        <v>117</v>
      </c>
    </row>
    <row r="27" spans="1:2">
      <c r="A27" t="s">
        <v>41</v>
      </c>
      <c r="B27" t="s">
        <v>124</v>
      </c>
    </row>
    <row r="28" spans="1:2">
      <c r="A28" t="s">
        <v>42</v>
      </c>
      <c r="B28" t="s">
        <v>127</v>
      </c>
    </row>
    <row r="29" spans="1:2">
      <c r="A29" t="s">
        <v>43</v>
      </c>
      <c r="B29" t="s">
        <v>128</v>
      </c>
    </row>
    <row r="31" spans="1:2">
      <c r="A31" t="s">
        <v>144</v>
      </c>
      <c r="B31" t="s">
        <v>16</v>
      </c>
    </row>
    <row r="32" spans="1:2">
      <c r="A32" t="s">
        <v>145</v>
      </c>
      <c r="B32" t="s">
        <v>431</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3A2F2-E2EA-4E71-B920-8F7B7AEBC6D0}">
  <dimension ref="A1"/>
  <sheetViews>
    <sheetView workbookViewId="0"/>
  </sheetViews>
  <sheetFormatPr baseColWidth="10" defaultRowHeight="15"/>
  <sheetData/>
  <pageMargins left="0.7" right="0.7" top="0.78740157499999996" bottom="0.78740157499999996"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25D72-B8BD-4A96-B079-042218457D07}">
  <dimension ref="A1:F3"/>
  <sheetViews>
    <sheetView workbookViewId="0">
      <selection sqref="A1:F3"/>
    </sheetView>
  </sheetViews>
  <sheetFormatPr baseColWidth="10" defaultColWidth="9.140625" defaultRowHeight="15"/>
  <cols>
    <col min="1" max="1" width="19.85546875" customWidth="1"/>
    <col min="2" max="2" width="52" customWidth="1"/>
    <col min="3" max="3" width="27.5703125" customWidth="1"/>
    <col min="4" max="4" width="19.42578125" customWidth="1"/>
    <col min="5" max="5" width="24.5703125" customWidth="1"/>
    <col min="6" max="6" width="63.42578125" customWidth="1"/>
    <col min="7" max="7" width="51.28515625" customWidth="1"/>
  </cols>
  <sheetData>
    <row r="1" spans="1:6">
      <c r="A1" t="s">
        <v>717</v>
      </c>
      <c r="B1" t="s">
        <v>718</v>
      </c>
      <c r="C1" t="s">
        <v>721</v>
      </c>
      <c r="D1" t="s">
        <v>722</v>
      </c>
      <c r="E1" t="s">
        <v>723</v>
      </c>
    </row>
    <row r="2" spans="1:6" ht="60">
      <c r="A2" t="s">
        <v>719</v>
      </c>
      <c r="B2" t="s">
        <v>720</v>
      </c>
      <c r="C2" t="s">
        <v>725</v>
      </c>
      <c r="D2" t="s">
        <v>724</v>
      </c>
      <c r="E2" t="s">
        <v>726</v>
      </c>
      <c r="F2" s="8" t="s">
        <v>727</v>
      </c>
    </row>
    <row r="3" spans="1:6">
      <c r="B3" t="s">
        <v>728</v>
      </c>
      <c r="C3" t="s">
        <v>725</v>
      </c>
      <c r="D3" t="s">
        <v>724</v>
      </c>
      <c r="E3" t="s">
        <v>729</v>
      </c>
      <c r="F3" t="s">
        <v>730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BC565-B00A-4713-9952-71D018903D76}">
  <sheetPr>
    <tabColor rgb="FFFFC000"/>
  </sheetPr>
  <dimension ref="A1:G23"/>
  <sheetViews>
    <sheetView topLeftCell="A5" zoomScale="85" zoomScaleNormal="85" workbookViewId="0">
      <selection activeCell="B7" sqref="B7"/>
    </sheetView>
  </sheetViews>
  <sheetFormatPr baseColWidth="10" defaultColWidth="9.140625" defaultRowHeight="15"/>
  <cols>
    <col min="1" max="1" width="49.85546875" customWidth="1"/>
    <col min="2" max="2" width="69" customWidth="1"/>
    <col min="3" max="3" width="52" customWidth="1"/>
    <col min="5" max="5" width="74.42578125" customWidth="1"/>
    <col min="6" max="6" width="32.5703125" customWidth="1"/>
    <col min="7" max="7" width="72.7109375" customWidth="1"/>
  </cols>
  <sheetData>
    <row r="1" spans="1:7" ht="88.5" customHeight="1">
      <c r="A1" s="105" t="s">
        <v>308</v>
      </c>
      <c r="B1" s="105"/>
      <c r="C1" s="105"/>
      <c r="E1" s="24" t="s">
        <v>354</v>
      </c>
      <c r="G1" s="24" t="s">
        <v>356</v>
      </c>
    </row>
    <row r="2" spans="1:7" ht="27.75" customHeight="1">
      <c r="A2" s="108" t="s">
        <v>289</v>
      </c>
      <c r="B2" s="108"/>
      <c r="C2" s="22"/>
      <c r="E2" s="109" t="e" vm="2">
        <v>#VALUE!</v>
      </c>
      <c r="F2" s="110" t="s">
        <v>355</v>
      </c>
      <c r="G2" s="107" t="e" vm="3">
        <v>#VALUE!</v>
      </c>
    </row>
    <row r="3" spans="1:7">
      <c r="A3" t="s">
        <v>309</v>
      </c>
      <c r="B3" t="s">
        <v>310</v>
      </c>
      <c r="E3" s="109"/>
      <c r="F3" s="110"/>
      <c r="G3" s="107"/>
    </row>
    <row r="4" spans="1:7" ht="90">
      <c r="A4" s="19" t="s">
        <v>311</v>
      </c>
      <c r="B4" s="5" t="s">
        <v>312</v>
      </c>
      <c r="E4" s="109"/>
      <c r="F4" s="110"/>
      <c r="G4" s="107"/>
    </row>
    <row r="5" spans="1:7" ht="180">
      <c r="A5" s="19" t="s">
        <v>313</v>
      </c>
      <c r="B5" s="5" t="s">
        <v>315</v>
      </c>
      <c r="C5" s="5" t="s">
        <v>314</v>
      </c>
      <c r="E5" s="109"/>
      <c r="F5" s="110"/>
      <c r="G5" s="107"/>
    </row>
    <row r="6" spans="1:7" ht="63">
      <c r="A6" s="108" t="s">
        <v>316</v>
      </c>
      <c r="B6" s="108"/>
      <c r="C6" s="23" t="s">
        <v>317</v>
      </c>
      <c r="E6" s="109"/>
      <c r="F6" s="110"/>
      <c r="G6" s="107"/>
    </row>
    <row r="7" spans="1:7" ht="135">
      <c r="A7" s="19" t="s">
        <v>318</v>
      </c>
      <c r="B7" s="5" t="s">
        <v>319</v>
      </c>
      <c r="E7" s="109"/>
      <c r="F7" s="110"/>
      <c r="G7" s="107"/>
    </row>
    <row r="8" spans="1:7" ht="75">
      <c r="A8" s="19" t="s">
        <v>320</v>
      </c>
      <c r="B8" s="5" t="s">
        <v>321</v>
      </c>
      <c r="C8" s="19" t="s">
        <v>322</v>
      </c>
      <c r="E8" s="109"/>
      <c r="F8" s="110"/>
      <c r="G8" s="107"/>
    </row>
    <row r="9" spans="1:7" ht="44.25" customHeight="1">
      <c r="A9" s="108" t="s">
        <v>296</v>
      </c>
      <c r="B9" s="108"/>
      <c r="C9" s="23" t="s">
        <v>323</v>
      </c>
      <c r="E9" s="109"/>
      <c r="F9" s="110"/>
      <c r="G9" s="107"/>
    </row>
    <row r="10" spans="1:7" ht="105">
      <c r="A10" s="19" t="s">
        <v>318</v>
      </c>
      <c r="B10" s="8" t="s">
        <v>324</v>
      </c>
      <c r="E10" s="109"/>
      <c r="F10" s="110"/>
      <c r="G10" s="107"/>
    </row>
    <row r="11" spans="1:7" ht="105">
      <c r="A11" s="19" t="s">
        <v>250</v>
      </c>
      <c r="B11" s="5" t="s">
        <v>325</v>
      </c>
      <c r="C11" s="5" t="s">
        <v>326</v>
      </c>
      <c r="E11" s="109"/>
      <c r="F11" s="110"/>
      <c r="G11" s="107"/>
    </row>
    <row r="12" spans="1:7" ht="47.25">
      <c r="A12" s="108" t="s">
        <v>327</v>
      </c>
      <c r="B12" s="108"/>
      <c r="C12" s="23" t="s">
        <v>328</v>
      </c>
      <c r="E12" s="109"/>
      <c r="F12" s="110"/>
      <c r="G12" s="107"/>
    </row>
    <row r="13" spans="1:7" ht="105">
      <c r="A13" s="19" t="s">
        <v>318</v>
      </c>
      <c r="B13" s="8" t="s">
        <v>329</v>
      </c>
      <c r="E13" s="109"/>
      <c r="F13" s="110"/>
      <c r="G13" s="107"/>
    </row>
    <row r="14" spans="1:7" ht="121.5" customHeight="1">
      <c r="A14" s="19" t="s">
        <v>260</v>
      </c>
      <c r="B14" s="5" t="s">
        <v>330</v>
      </c>
      <c r="C14" s="5" t="s">
        <v>331</v>
      </c>
      <c r="E14" s="109"/>
      <c r="F14" s="110"/>
      <c r="G14" s="107"/>
    </row>
    <row r="15" spans="1:7" ht="39.75" customHeight="1">
      <c r="A15" s="108" t="s">
        <v>332</v>
      </c>
      <c r="B15" s="108"/>
      <c r="C15" s="23" t="s">
        <v>333</v>
      </c>
      <c r="E15" s="109"/>
      <c r="F15" s="110"/>
      <c r="G15" s="107"/>
    </row>
    <row r="16" spans="1:7" ht="60">
      <c r="A16" s="19" t="s">
        <v>318</v>
      </c>
      <c r="B16" s="8" t="s">
        <v>334</v>
      </c>
      <c r="C16" s="5" t="s">
        <v>335</v>
      </c>
      <c r="E16" s="109"/>
      <c r="F16" s="110"/>
      <c r="G16" s="107"/>
    </row>
    <row r="17" spans="1:7" ht="90">
      <c r="A17" s="19" t="s">
        <v>336</v>
      </c>
      <c r="B17" s="5" t="s">
        <v>338</v>
      </c>
      <c r="C17" s="19" t="s">
        <v>337</v>
      </c>
      <c r="E17" s="109"/>
      <c r="F17" s="110"/>
      <c r="G17" s="107"/>
    </row>
    <row r="18" spans="1:7" ht="112.5" customHeight="1">
      <c r="A18" s="19" t="s">
        <v>339</v>
      </c>
      <c r="B18" s="5" t="s">
        <v>341</v>
      </c>
      <c r="C18" s="5" t="s">
        <v>340</v>
      </c>
      <c r="E18" s="109"/>
      <c r="F18" s="110"/>
      <c r="G18" s="107"/>
    </row>
    <row r="19" spans="1:7" ht="45">
      <c r="A19" s="19" t="s">
        <v>342</v>
      </c>
      <c r="B19" s="5" t="s">
        <v>343</v>
      </c>
      <c r="C19" s="5" t="s">
        <v>344</v>
      </c>
      <c r="E19" s="109"/>
      <c r="F19" s="110"/>
      <c r="G19" s="107"/>
    </row>
    <row r="20" spans="1:7" ht="210">
      <c r="A20" s="19" t="s">
        <v>345</v>
      </c>
      <c r="B20" s="5" t="s">
        <v>346</v>
      </c>
      <c r="C20" s="5" t="s">
        <v>347</v>
      </c>
      <c r="E20" s="109"/>
      <c r="F20" s="110"/>
      <c r="G20" s="107"/>
    </row>
    <row r="21" spans="1:7" ht="120">
      <c r="A21" s="19" t="s">
        <v>348</v>
      </c>
      <c r="B21" s="8" t="s">
        <v>349</v>
      </c>
      <c r="E21" s="109"/>
      <c r="F21" s="110"/>
      <c r="G21" s="107"/>
    </row>
    <row r="22" spans="1:7" ht="105">
      <c r="A22" s="19" t="s">
        <v>350</v>
      </c>
      <c r="B22" s="8" t="s">
        <v>351</v>
      </c>
      <c r="E22" s="109"/>
      <c r="F22" s="110"/>
      <c r="G22" s="107"/>
    </row>
    <row r="23" spans="1:7" ht="45">
      <c r="A23" s="19" t="s">
        <v>352</v>
      </c>
      <c r="B23" s="8" t="s">
        <v>353</v>
      </c>
      <c r="E23" s="109"/>
      <c r="F23" s="110"/>
      <c r="G23" s="107"/>
    </row>
  </sheetData>
  <mergeCells count="9">
    <mergeCell ref="G2:G23"/>
    <mergeCell ref="A2:B2"/>
    <mergeCell ref="A1:C1"/>
    <mergeCell ref="A6:B6"/>
    <mergeCell ref="A9:B9"/>
    <mergeCell ref="A12:B12"/>
    <mergeCell ref="A15:B15"/>
    <mergeCell ref="E2:E23"/>
    <mergeCell ref="F2:F2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A455E-3192-4797-81A3-420027EAE299}">
  <dimension ref="A1:D1"/>
  <sheetViews>
    <sheetView workbookViewId="0">
      <selection activeCell="D1" sqref="D1"/>
    </sheetView>
  </sheetViews>
  <sheetFormatPr baseColWidth="10" defaultColWidth="9.140625" defaultRowHeight="15"/>
  <cols>
    <col min="1" max="1" width="43.140625" customWidth="1"/>
    <col min="2" max="2" width="47" customWidth="1"/>
    <col min="3" max="3" width="44.42578125" customWidth="1"/>
    <col min="4" max="4" width="93.7109375" customWidth="1"/>
  </cols>
  <sheetData>
    <row r="1" spans="1:4" ht="205.5" customHeight="1">
      <c r="A1" s="5" t="s">
        <v>440</v>
      </c>
      <c r="B1" s="5" t="s">
        <v>439</v>
      </c>
      <c r="C1" s="5" t="s">
        <v>441</v>
      </c>
      <c r="D1" s="5" t="s">
        <v>442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EE1DC-321D-48EF-969F-CC4DBDD838B8}">
  <sheetPr>
    <tabColor rgb="FFC00000"/>
  </sheetPr>
  <dimension ref="A1"/>
  <sheetViews>
    <sheetView workbookViewId="0"/>
  </sheetViews>
  <sheetFormatPr baseColWidth="10" defaultColWidth="9.140625" defaultRowHeight="1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A5F93-C1C9-40E7-9052-943F65440478}">
  <dimension ref="A1:A49"/>
  <sheetViews>
    <sheetView topLeftCell="A6" workbookViewId="0">
      <selection activeCell="E7" sqref="E7"/>
    </sheetView>
  </sheetViews>
  <sheetFormatPr baseColWidth="10" defaultColWidth="9.140625" defaultRowHeight="15"/>
  <cols>
    <col min="1" max="1" width="52" bestFit="1" customWidth="1"/>
  </cols>
  <sheetData>
    <row r="1" spans="1:1" ht="18">
      <c r="A1" s="27" t="s">
        <v>470</v>
      </c>
    </row>
    <row r="3" spans="1:1">
      <c r="A3" s="13" t="s">
        <v>471</v>
      </c>
    </row>
    <row r="4" spans="1:1">
      <c r="A4" t="s">
        <v>472</v>
      </c>
    </row>
    <row r="6" spans="1:1">
      <c r="A6" t="s">
        <v>473</v>
      </c>
    </row>
    <row r="7" spans="1:1">
      <c r="A7" s="18"/>
    </row>
    <row r="8" spans="1:1">
      <c r="A8" s="18" t="s">
        <v>474</v>
      </c>
    </row>
    <row r="9" spans="1:1">
      <c r="A9" s="18" t="s">
        <v>475</v>
      </c>
    </row>
    <row r="11" spans="1:1">
      <c r="A11" t="s">
        <v>476</v>
      </c>
    </row>
    <row r="13" spans="1:1" ht="15.75">
      <c r="A13" s="28" t="s">
        <v>477</v>
      </c>
    </row>
    <row r="15" spans="1:1">
      <c r="A15" t="s">
        <v>478</v>
      </c>
    </row>
    <row r="16" spans="1:1">
      <c r="A16" s="19"/>
    </row>
    <row r="17" spans="1:1">
      <c r="A17" s="29" t="s">
        <v>479</v>
      </c>
    </row>
    <row r="18" spans="1:1">
      <c r="A18" s="29" t="s">
        <v>480</v>
      </c>
    </row>
    <row r="19" spans="1:1">
      <c r="A19" s="29" t="s">
        <v>481</v>
      </c>
    </row>
    <row r="20" spans="1:1">
      <c r="A20" s="29" t="s">
        <v>482</v>
      </c>
    </row>
    <row r="21" spans="1:1">
      <c r="A21" s="29" t="s">
        <v>483</v>
      </c>
    </row>
    <row r="22" spans="1:1">
      <c r="A22" s="29" t="s">
        <v>484</v>
      </c>
    </row>
    <row r="23" spans="1:1">
      <c r="A23" s="19"/>
    </row>
    <row r="24" spans="1:1">
      <c r="A24" s="29" t="s">
        <v>485</v>
      </c>
    </row>
    <row r="25" spans="1:1">
      <c r="A25" s="29" t="s">
        <v>486</v>
      </c>
    </row>
    <row r="26" spans="1:1">
      <c r="A26" s="29" t="s">
        <v>487</v>
      </c>
    </row>
    <row r="27" spans="1:1">
      <c r="A27" s="29" t="s">
        <v>488</v>
      </c>
    </row>
    <row r="28" spans="1:1">
      <c r="A28" s="29" t="s">
        <v>489</v>
      </c>
    </row>
    <row r="29" spans="1:1">
      <c r="A29" s="19"/>
    </row>
    <row r="30" spans="1:1">
      <c r="A30" s="29" t="s">
        <v>490</v>
      </c>
    </row>
    <row r="31" spans="1:1">
      <c r="A31" s="29" t="s">
        <v>491</v>
      </c>
    </row>
    <row r="32" spans="1:1">
      <c r="A32" s="29" t="s">
        <v>492</v>
      </c>
    </row>
    <row r="33" spans="1:1">
      <c r="A33" s="29" t="s">
        <v>493</v>
      </c>
    </row>
    <row r="34" spans="1:1">
      <c r="A34" s="19"/>
    </row>
    <row r="35" spans="1:1">
      <c r="A35" s="29" t="s">
        <v>494</v>
      </c>
    </row>
    <row r="36" spans="1:1">
      <c r="A36" s="29" t="s">
        <v>495</v>
      </c>
    </row>
    <row r="37" spans="1:1">
      <c r="A37" s="29" t="s">
        <v>496</v>
      </c>
    </row>
    <row r="38" spans="1:1">
      <c r="A38" s="29" t="s">
        <v>497</v>
      </c>
    </row>
    <row r="39" spans="1:1">
      <c r="A39" s="29" t="s">
        <v>498</v>
      </c>
    </row>
    <row r="41" spans="1:1" ht="15.75">
      <c r="A41" s="28" t="s">
        <v>499</v>
      </c>
    </row>
    <row r="43" spans="1:1">
      <c r="A43" t="s">
        <v>500</v>
      </c>
    </row>
    <row r="44" spans="1:1">
      <c r="A44" t="s">
        <v>501</v>
      </c>
    </row>
    <row r="45" spans="1:1">
      <c r="A45" t="s">
        <v>502</v>
      </c>
    </row>
    <row r="46" spans="1:1">
      <c r="A46" t="s">
        <v>503</v>
      </c>
    </row>
    <row r="48" spans="1:1">
      <c r="A48" t="s">
        <v>504</v>
      </c>
    </row>
    <row r="49" spans="1:1">
      <c r="A49" t="s">
        <v>505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8B9F-B6AD-4321-9B0D-A5D66043A141}">
  <dimension ref="A1"/>
  <sheetViews>
    <sheetView workbookViewId="0"/>
  </sheetViews>
  <sheetFormatPr baseColWidth="10" defaultColWidth="9.140625" defaultRowHeight="1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E008F-F9A2-4DFB-90D9-902FA3740359}">
  <dimension ref="A1"/>
  <sheetViews>
    <sheetView workbookViewId="0"/>
  </sheetViews>
  <sheetFormatPr baseColWidth="10" defaultColWidth="9.1406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35</vt:i4>
      </vt:variant>
    </vt:vector>
  </HeadingPairs>
  <TitlesOfParts>
    <vt:vector size="35" baseType="lpstr">
      <vt:lpstr>HybridRetriever</vt:lpstr>
      <vt:lpstr>Future Codex Prompts</vt:lpstr>
      <vt:lpstr>AZURE</vt:lpstr>
      <vt:lpstr>UI Use Cases</vt:lpstr>
      <vt:lpstr>Payload</vt:lpstr>
      <vt:lpstr>AGENT</vt:lpstr>
      <vt:lpstr>AGENTS</vt:lpstr>
      <vt:lpstr>AI REASONING</vt:lpstr>
      <vt:lpstr>AGENT NODES</vt:lpstr>
      <vt:lpstr>Directory &amp; Classes Mapping</vt:lpstr>
      <vt:lpstr>RunTime Control Matrix</vt:lpstr>
      <vt:lpstr>CLASSES</vt:lpstr>
      <vt:lpstr>Tabelle1</vt:lpstr>
      <vt:lpstr>CANONICAL STATES &amp; CLASSES </vt:lpstr>
      <vt:lpstr>MASTER CLASS &amp; METHOD TABLE</vt:lpstr>
      <vt:lpstr>USE CASES</vt:lpstr>
      <vt:lpstr>NODES</vt:lpstr>
      <vt:lpstr>D1_ProblemDefinition</vt:lpstr>
      <vt:lpstr>D2_TeamScope</vt:lpstr>
      <vt:lpstr>D3_ImmediateActions</vt:lpstr>
      <vt:lpstr>D4_RootCauseAnalysis</vt:lpstr>
      <vt:lpstr>D5_CorrectiveActions</vt:lpstr>
      <vt:lpstr>D6_Validation</vt:lpstr>
      <vt:lpstr>D7_Prevention</vt:lpstr>
      <vt:lpstr>D8_ClosureLearning</vt:lpstr>
      <vt:lpstr>Conversation_Process</vt:lpstr>
      <vt:lpstr>Strategy_Learning</vt:lpstr>
      <vt:lpstr>Tabelle3</vt:lpstr>
      <vt:lpstr>Sheet20</vt:lpstr>
      <vt:lpstr>RUNTIME JSON</vt:lpstr>
      <vt:lpstr>ENTRY HANDING</vt:lpstr>
      <vt:lpstr>FILES</vt:lpstr>
      <vt:lpstr>state.py</vt:lpstr>
      <vt:lpstr>conditions.py</vt:lpstr>
      <vt:lpstr>Push to talk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Vassilis Pangalis</cp:lastModifiedBy>
  <dcterms:created xsi:type="dcterms:W3CDTF">2026-01-31T10:11:37Z</dcterms:created>
  <dcterms:modified xsi:type="dcterms:W3CDTF">2026-02-17T17:11:56Z</dcterms:modified>
</cp:coreProperties>
</file>